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xr:revisionPtr revIDLastSave="0" documentId="8_{2E141330-A40B-5E4A-B6C8-20D42091BA4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EADME" sheetId="1" r:id="rId1"/>
    <sheet name="Event_Master" sheetId="2" r:id="rId2"/>
    <sheet name="Matched_Controls" sheetId="3" r:id="rId3"/>
    <sheet name="Match_Rules" sheetId="4" r:id="rId4"/>
    <sheet name="Feature_Snapshots" sheetId="5" r:id="rId5"/>
    <sheet name="Outcomes" sheetId="6" r:id="rId6"/>
    <sheet name="Sources" sheetId="7" r:id="rId7"/>
    <sheet name="Cohort_Summary" sheetId="8" r:id="rId8"/>
    <sheet name="Data_Dictionary" sheetId="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8" l="1"/>
  <c r="B9" i="8"/>
  <c r="B8" i="8"/>
  <c r="B7" i="8"/>
  <c r="B6" i="8"/>
  <c r="B5" i="8"/>
</calcChain>
</file>

<file path=xl/sharedStrings.xml><?xml version="1.0" encoding="utf-8"?>
<sst xmlns="http://schemas.openxmlformats.org/spreadsheetml/2006/main" count="593" uniqueCount="465">
  <si>
    <t>MR. MICHAEL — Historical Runner / Failure Database</t>
  </si>
  <si>
    <t>Verified seed cohort + production-ready point-in-time schema. Control links are provisional until intraday features support quantitative matching.</t>
  </si>
  <si>
    <t>Field</t>
  </si>
  <si>
    <t>Value</t>
  </si>
  <si>
    <t>Build date</t>
  </si>
  <si>
    <t>2026-08-24</t>
  </si>
  <si>
    <t>Production universe</t>
  </si>
  <si>
    <t>U.S.-traded exchange-listed equities; approx. $0.20–$5 with primary emphasis below $3; small/micro/nano cap; same-day momentum.</t>
  </si>
  <si>
    <t>Current content</t>
  </si>
  <si>
    <t>11 seed events and 7 provisional control links.</t>
  </si>
  <si>
    <t>Critical warning</t>
  </si>
  <si>
    <t>This is not yet a statistically representative historical universe. Real researched cases are seeded; missing market-state fields are left blank rather than guessed.</t>
  </si>
  <si>
    <t>Control status</t>
  </si>
  <si>
    <t>PROVISIONAL_NEEDS_PIT_FEATURES means mechanism/control candidate only—not a completed statistical match.</t>
  </si>
  <si>
    <t>No-lookahead rule</t>
  </si>
  <si>
    <t>Matching features must satisfy knowledge_timestamp &lt;= prediction_timestamp. Never match on future MFE/MAE, session high, later collapse, or regulatory outcome.</t>
  </si>
  <si>
    <t>Next ingestion gate</t>
  </si>
  <si>
    <t>Continuous universe + point-in-time trades/quotes + halts + filings/corporate actions + scanner/social state; then compute match distances, balance diagnostics and barrier outcomes.</t>
  </si>
  <si>
    <t>Primary internal source</t>
  </si>
  <si>
    <t>MR. MICHAEL: Foundational Deep Research on Intraday Low-Priced Microcap Momentum (Aug. 21, 2026).</t>
  </si>
  <si>
    <t>Event Master</t>
  </si>
  <si>
    <t>One row per researched event. Blank means not yet verified/ingested; no invented values.</t>
  </si>
  <si>
    <t>event_id</t>
  </si>
  <si>
    <t>ticker</t>
  </si>
  <si>
    <t>issuer</t>
  </si>
  <si>
    <t>event_date</t>
  </si>
  <si>
    <t>event_window</t>
  </si>
  <si>
    <t>exchange</t>
  </si>
  <si>
    <t>label</t>
  </si>
  <si>
    <t>taxonomy</t>
  </si>
  <si>
    <t>catalyst_type</t>
  </si>
  <si>
    <t>catalyst_quality</t>
  </si>
  <si>
    <t>headline_move_pct</t>
  </si>
  <si>
    <t>volume_shares</t>
  </si>
  <si>
    <t>reference_price</t>
  </si>
  <si>
    <t>reverse_split_state</t>
  </si>
  <si>
    <t>foreign_issuer</t>
  </si>
  <si>
    <t>regulatory_outcome</t>
  </si>
  <si>
    <t>failure_mode</t>
  </si>
  <si>
    <t>status</t>
  </si>
  <si>
    <t>source_1</t>
  </si>
  <si>
    <t>source_2</t>
  </si>
  <si>
    <t>notes</t>
  </si>
  <si>
    <t>QMMM_2025_09_09</t>
  </si>
  <si>
    <t>QMMM</t>
  </si>
  <si>
    <t>QMMM Holdings Ltd.</t>
  </si>
  <si>
    <t>2025-09-09</t>
  </si>
  <si>
    <t>2025-09-09 to 2025-09-29</t>
  </si>
  <si>
    <t>Nasdaq Capital Market</t>
  </si>
  <si>
    <t>RUNNER_REGULATORY_FAILURE</t>
  </si>
  <si>
    <t>Foreign issuer / narrative + social-promotion risk</t>
  </si>
  <si>
    <t>Crypto-treasury strategy announcement</t>
  </si>
  <si>
    <t>Concrete narrative catalyst; later manipulation concern</t>
  </si>
  <si>
    <t>No seed evidence encoded</t>
  </si>
  <si>
    <t>Yes</t>
  </si>
  <si>
    <t>SEC suspension effective 2025-09-29; Nasdaq information halt followed</t>
  </si>
  <si>
    <t>Untradeable regulatory tail risk after extreme run</t>
  </si>
  <si>
    <t>VERIFIED_SEED</t>
  </si>
  <si>
    <t>https://www.sec.gov/enforcement-litigation/trading-suspensions/34-104113-ts</t>
  </si>
  <si>
    <t>https://www.sec.gov/Archives/edgar/data/1971542/000164117225026950/form6-k.htm</t>
  </si>
  <si>
    <t>Foundational report: roughly 959% rise in less than three weeks; last-sale reference $119.40.</t>
  </si>
  <si>
    <t>SDM_2025_09_29</t>
  </si>
  <si>
    <t>SDM</t>
  </si>
  <si>
    <t>Smart Digital Group Limited</t>
  </si>
  <si>
    <t>2025-09-29</t>
  </si>
  <si>
    <t>2025-09</t>
  </si>
  <si>
    <t>CONTROL_FAILURE</t>
  </si>
  <si>
    <t>Foreign issuer / social-promotion risk / small IPO</t>
  </si>
  <si>
    <t>No verified fundamental catalyst encoded for suspension event</t>
  </si>
  <si>
    <t>Promotion-risk event</t>
  </si>
  <si>
    <t>SEC suspension 2025-09-29 through 2025-10-10; later Nasdaq delisting determination</t>
  </si>
  <si>
    <t>Trading suspension / later delisting determination</t>
  </si>
  <si>
    <t>https://www.sec.gov/enforcement-litigation/trading-suspensions/34-104112-ts</t>
  </si>
  <si>
    <t>https://www.sec.gov/Archives/edgar/data/2014955/000121390025039463/ea020341216-424b4_smart.htm</t>
  </si>
  <si>
    <t>IPO prospectus: 1.5m ordinary shares at $4.00. Strong contextual control candidate for QMMM; quantitative event-time matching still required.</t>
  </si>
  <si>
    <t>LAWR_2025_10_23</t>
  </si>
  <si>
    <t>LAWR</t>
  </si>
  <si>
    <t>Robot Consulting Co., Ltd.</t>
  </si>
  <si>
    <t>2025-10-23</t>
  </si>
  <si>
    <t>2025-10</t>
  </si>
  <si>
    <t>Foreign issuer / low-float IPO / coordinated social-promotion risk</t>
  </si>
  <si>
    <t>Social recommendations / screenshot requests cited by SEC</t>
  </si>
  <si>
    <t>SEC suspension 2025-10-23 through 2025-11-05; Nasdaq information request/halt</t>
  </si>
  <si>
    <t>Trading suspension / execution lockout</t>
  </si>
  <si>
    <t>https://www.sec.gov/Archives/edgar/data/2007599/000149315225019894/ex99-1.htm</t>
  </si>
  <si>
    <t>https://www.sec.gov/Archives/edgar/data/2007599/000149315225021112/form6-k.htm</t>
  </si>
  <si>
    <t>SEC order cites buy/hold/sell recommendations plus requests for transaction screenshots.</t>
  </si>
  <si>
    <t>CHSN_2024_10</t>
  </si>
  <si>
    <t>CHSN</t>
  </si>
  <si>
    <t>Chanson International Holding</t>
  </si>
  <si>
    <t>2024-10 suspension; 2025-08 and 2026-05 reverse splits</t>
  </si>
  <si>
    <t>Nasdaq</t>
  </si>
  <si>
    <t>Foreign issuer / social-promotion risk / serial reverse split</t>
  </si>
  <si>
    <t>Social-media purchase recommendations cited in foundational research</t>
  </si>
  <si>
    <t>1-for-80 Aug 2025; 1-for-100 May 2026</t>
  </si>
  <si>
    <t>SEC suspension in Oct 2024; later serial reverse splits</t>
  </si>
  <si>
    <t>Promotion/listing/capital-structure risk stack</t>
  </si>
  <si>
    <t>FOUNDATIONAL_REPORT_SEED</t>
  </si>
  <si>
    <t>Internal MR. MICHAEL foundational research file</t>
  </si>
  <si>
    <t>Exact suspension date and point-in-time price/float still to ingest.</t>
  </si>
  <si>
    <t>DRUG_2024_10_15</t>
  </si>
  <si>
    <t>DRUG</t>
  </si>
  <si>
    <t>Bright Minds Biosciences Inc.</t>
  </si>
  <si>
    <t>2024-10-15</t>
  </si>
  <si>
    <t>2024-10-15 to 2024-10-18</t>
  </si>
  <si>
    <t>RUNNER</t>
  </si>
  <si>
    <t>Pure hype / reflexive attention runner</t>
  </si>
  <si>
    <t>No contemporaneous direct company news identified in foundational research</t>
  </si>
  <si>
    <t>Unexplained contemporaneous momentum</t>
  </si>
  <si>
    <t>Not core seed feature</t>
  </si>
  <si>
    <t>No suspension encoded; $35m private placement announced 2024-10-18</t>
  </si>
  <si>
    <t>Post-run supply/capital formation risk</t>
  </si>
  <si>
    <t>https://www.sec.gov/Archives/edgar/data/1827401/000118374024000079/f6k-20241015.htm</t>
  </si>
  <si>
    <t>https://brightmindsbio.com/bright-minds-biosciences-announces-us35-million-non-brokered-private-placement/</t>
  </si>
  <si>
    <t>Foundational report: ~1,445% one-day rise on &gt;100m shares. $21.70 is later private-placement price, not event-entry price.</t>
  </si>
  <si>
    <t>HOLO_2024_02</t>
  </si>
  <si>
    <t>HOLO</t>
  </si>
  <si>
    <t>MicroCloud Hologram Inc.</t>
  </si>
  <si>
    <t>2024-02-02</t>
  </si>
  <si>
    <t>2024-02 onward</t>
  </si>
  <si>
    <t>Reverse-split runner / low-effective-float speculation loop</t>
  </si>
  <si>
    <t>Reverse split followed by communications-industry association announcement</t>
  </si>
  <si>
    <t>Concrete corporate action + later narrative</t>
  </si>
  <si>
    <t>1-for-10 effective 2024-02-02; later additional reverse splits</t>
  </si>
  <si>
    <t>No seed suspension encoded</t>
  </si>
  <si>
    <t>Serial recapitalization / new supply / listing risk</t>
  </si>
  <si>
    <t>https://www.nasdaqtrader.com/TraderNews.aspx?id=ECA2024-46</t>
  </si>
  <si>
    <t>https://www.sec.gov/Archives/edgar/data/1841209/000182912624000550/microcloud_ex99-1.htm</t>
  </si>
  <si>
    <t>Post-split outstanding shares disclosed as ~5.94m after 1-for-10 consolidation.</t>
  </si>
  <si>
    <t>RYDE_2024_09_11</t>
  </si>
  <si>
    <t>RYDE</t>
  </si>
  <si>
    <t>Ryde Group Ltd</t>
  </si>
  <si>
    <t>2024-09-11</t>
  </si>
  <si>
    <t>2024-09</t>
  </si>
  <si>
    <t>NYSE American</t>
  </si>
  <si>
    <t>FAILED_RUNNER</t>
  </si>
  <si>
    <t>Low-float IPO / catastrophic reversal</t>
  </si>
  <si>
    <t>Speculative low-float trading / financing overhang</t>
  </si>
  <si>
    <t>No single causal catalyst encoded</t>
  </si>
  <si>
    <t>Subsequent financing activity; no seed suspension encoded</t>
  </si>
  <si>
    <t>Next-day collapse from $13.11 close to $2.08 (&gt;80%)</t>
  </si>
  <si>
    <t>https://www.sec.gov/Archives/edgar/data/1971115/000149315224036098/formf-1.htm</t>
  </si>
  <si>
    <t>https://www.sec.gov/Archives/edgar/data/1971115/000149315224038480/form6-k.htm</t>
  </si>
  <si>
    <t>Foundational report states Sept. 2024 range $0.84-$20.40 and &gt;80% collapse from $13.11 to $2.08.</t>
  </si>
  <si>
    <t>BDRX_2024_05</t>
  </si>
  <si>
    <t>BDRX</t>
  </si>
  <si>
    <t>Biodexa Pharmaceuticals PLC</t>
  </si>
  <si>
    <t>2024-05</t>
  </si>
  <si>
    <t>FAILED_OR_UNRESOLVED_RUNNER</t>
  </si>
  <si>
    <t>Short-squeeze narrative / unexplained premarket surge</t>
  </si>
  <si>
    <t>No new company announcement identified by contemporary report</t>
  </si>
  <si>
    <t>Narrative/attention event</t>
  </si>
  <si>
    <t>Not encoded</t>
  </si>
  <si>
    <t>None encoded</t>
  </si>
  <si>
    <t>Risk of narrative being mistaken for measured forced covering</t>
  </si>
  <si>
    <t>~15.8m shares vs cited typical daily average near 3m; exact event date/outcome path still to ingest.</t>
  </si>
  <si>
    <t>BDRX_2026</t>
  </si>
  <si>
    <t>2026</t>
  </si>
  <si>
    <t>Biotech / medical catalyst runner</t>
  </si>
  <si>
    <t>FDA Fast Track designation</t>
  </si>
  <si>
    <t>Concrete regulatory catalyst</t>
  </si>
  <si>
    <t>Biotech headline interpretation / financing risk</t>
  </si>
  <si>
    <t>Same ticker as 2024 event, deliberately retained as separate causal class.</t>
  </si>
  <si>
    <t>MLGO_2024_2025</t>
  </si>
  <si>
    <t>MLGO</t>
  </si>
  <si>
    <t>MicroAlgo Inc.</t>
  </si>
  <si>
    <t>2024-03 to 2025-07</t>
  </si>
  <si>
    <t>Serial reverse-split / listing-stress control</t>
  </si>
  <si>
    <t>Reverse splits / minimum-bid compliance</t>
  </si>
  <si>
    <t>Capital-structure/listing event</t>
  </si>
  <si>
    <t>1-for-10 Mar 2024; 1-for-20 Dec 2024; 1-for-30 Jul 2025</t>
  </si>
  <si>
    <t>Repeated bid-price/listing remediation</t>
  </si>
  <si>
    <t>Post-split scarcity not durable</t>
  </si>
  <si>
    <t>Control candidate for HOLO-style reverse-split scarcity thesis.</t>
  </si>
  <si>
    <t>ONCO_2024_2025</t>
  </si>
  <si>
    <t>ONCO</t>
  </si>
  <si>
    <t>Onconetix, Inc.</t>
  </si>
  <si>
    <t>2024-09 to 2025-06</t>
  </si>
  <si>
    <t>Distressed / serial reverse-split control</t>
  </si>
  <si>
    <t>Reverse splits / listing stress</t>
  </si>
  <si>
    <t>1-for-40 Sep 2024; 1-for-85 Jun 2025</t>
  </si>
  <si>
    <t>No</t>
  </si>
  <si>
    <t>No suspension encoded</t>
  </si>
  <si>
    <t>Small reconstructed float without durable demand</t>
  </si>
  <si>
    <t>Explicitly identified in foundational research as a failed/distressed control for reverse-split runners.</t>
  </si>
  <si>
    <t>Matched Controls</t>
  </si>
  <si>
    <t>Provisional mechanism controls are separated from completed statistical matches to prevent false precision.</t>
  </si>
  <si>
    <t>match_id</t>
  </si>
  <si>
    <t>treated_event_id</t>
  </si>
  <si>
    <t>control_event_id</t>
  </si>
  <si>
    <t>match_class</t>
  </si>
  <si>
    <t>match_status</t>
  </si>
  <si>
    <t>rationale</t>
  </si>
  <si>
    <t>hard_match_dimensions</t>
  </si>
  <si>
    <t>missing_for_statistical_match</t>
  </si>
  <si>
    <t>match_score</t>
  </si>
  <si>
    <t>M001</t>
  </si>
  <si>
    <t>Contextual same-wave control</t>
  </si>
  <si>
    <t>PROVISIONAL_NEEDS_PIT_FEATURES</t>
  </si>
  <si>
    <t>Same 2025 SEC social-promotion suspension wave; foreign issuer; small U.S. float/IPO context; same suspension effective date.</t>
  </si>
  <si>
    <t>regime=2025 social-ramp; foreign_issuer=yes; Nasdaq; promotion-risk=yes</t>
  </si>
  <si>
    <t>event-time price, float/effective float, gap, RVOL, spread/depth, social breadth, catalyst state</t>
  </si>
  <si>
    <t>M002</t>
  </si>
  <si>
    <t>Mechanism control</t>
  </si>
  <si>
    <t>Foreign low-float/IPO context with documented social recommendations and severe regulatory lockout.</t>
  </si>
  <si>
    <t>foreign_issuer=yes; Nasdaq; social-promotion risk=yes; 2025 regime</t>
  </si>
  <si>
    <t>same-date state, price, float, gap, RVOL, liquidity, attention trajectory</t>
  </si>
  <si>
    <t>M003</t>
  </si>
  <si>
    <t>Capital-structure mechanism control</t>
  </si>
  <si>
    <t>Both serial reverse-split/listing-stress names; tests whether reconstructed scarcity predicts continuation versus recurrent recapitalization.</t>
  </si>
  <si>
    <t>reverse_split=yes; Nasdaq; microcap/speculative regime</t>
  </si>
  <si>
    <t>same-date price, effective float, premarket gain, RVOL, catalyst, liquidity</t>
  </si>
  <si>
    <t>M004</t>
  </si>
  <si>
    <t>Foundational research explicitly identifies Onconetix as failed/distressed reverse-split control.</t>
  </si>
  <si>
    <t>serial_reverse_split=yes; Nasdaq; listing-stress exposure</t>
  </si>
  <si>
    <t>same-date point-in-time market state and effective-float estimates</t>
  </si>
  <si>
    <t>M005</t>
  </si>
  <si>
    <t>Attention/narrative mechanism control</t>
  </si>
  <si>
    <t>Both have large abnormal moves without a contemporaneous fundamental anchor in the seed record; BDRX narrative focused on short interest.</t>
  </si>
  <si>
    <t>2024 regime; biotech; abnormal-volume narrative event</t>
  </si>
  <si>
    <t>same-date controls, price, float, gap, RVOL, spread, social state, forward barriers</t>
  </si>
  <si>
    <t>M006</t>
  </si>
  <si>
    <t>Within-ticker causal control</t>
  </si>
  <si>
    <t>MECHANISM_MATCH_NOT_STATISTICAL</t>
  </si>
  <si>
    <t>Same issuer, different causal class: concrete FDA Fast Track catalyst versus earlier unexplained/short-squeeze narrative.</t>
  </si>
  <si>
    <t>same_ticker=yes</t>
  </si>
  <si>
    <t>all event-time market-state covariates; different market regime/year</t>
  </si>
  <si>
    <t>M007</t>
  </si>
  <si>
    <t>Cross-regime low-float foreign IPO failure control</t>
  </si>
  <si>
    <t>Both represent foreign small-float U.S.-listed speculative paths with severe tail failure, but different causal/regulatory mechanisms.</t>
  </si>
  <si>
    <t>foreign_issuer=yes; low-float/IPO context</t>
  </si>
  <si>
    <t>same-date/regime constraint fails; all event-time covariates</t>
  </si>
  <si>
    <t>Matching Specification</t>
  </si>
  <si>
    <t>Controls must resemble the treated event at the prediction timestamp. Post-event outcomes are forbidden matching variables.</t>
  </si>
  <si>
    <t>Variable</t>
  </si>
  <si>
    <t>Transform / bucket</t>
  </si>
  <si>
    <t>Hard caliper</t>
  </si>
  <si>
    <t>Default weight</t>
  </si>
  <si>
    <t>Leakage rule</t>
  </si>
  <si>
    <t>Prediction timestamp</t>
  </si>
  <si>
    <t>Exact event-time snapshot</t>
  </si>
  <si>
    <t>Same session/daypart where possible</t>
  </si>
  <si>
    <t>HARD</t>
  </si>
  <si>
    <t>Must be known at t</t>
  </si>
  <si>
    <t>Market regime</t>
  </si>
  <si>
    <t>Year/quarter + rule regime</t>
  </si>
  <si>
    <t>Exact/near-exact</t>
  </si>
  <si>
    <t>No future regime labels</t>
  </si>
  <si>
    <t>Exchange</t>
  </si>
  <si>
    <t>Nasdaq / NYSE American / NYSE</t>
  </si>
  <si>
    <t>Prefer exact</t>
  </si>
  <si>
    <t>1.0</t>
  </si>
  <si>
    <t>Known at t</t>
  </si>
  <si>
    <t>Price</t>
  </si>
  <si>
    <t>log(price)</t>
  </si>
  <si>
    <t>+/- 35% after transform or same bucket</t>
  </si>
  <si>
    <t>1.5</t>
  </si>
  <si>
    <t>Use price at t, never session high</t>
  </si>
  <si>
    <t>Effective float</t>
  </si>
  <si>
    <t>log(base estimate); preserve low/high interval</t>
  </si>
  <si>
    <t>Same broad bucket; reject incompatible confidence</t>
  </si>
  <si>
    <t>2.0</t>
  </si>
  <si>
    <t>Only point-in-time filings/known holdings</t>
  </si>
  <si>
    <t>Market cap</t>
  </si>
  <si>
    <t>log(market cap)</t>
  </si>
  <si>
    <t>Same broad bucket</t>
  </si>
  <si>
    <t>Point-in-time shares x price</t>
  </si>
  <si>
    <t>Premarket/session gain</t>
  </si>
  <si>
    <t>percentage return from prior close</t>
  </si>
  <si>
    <t>+/- 20 percentage points initial caliper</t>
  </si>
  <si>
    <t>Only through t</t>
  </si>
  <si>
    <t>Time-adjusted RVOL</t>
  </si>
  <si>
    <t>log(RVOL_t)</t>
  </si>
  <si>
    <t>Within robust-distance caliper</t>
  </si>
  <si>
    <t>Historical denominator built only from earlier dates</t>
  </si>
  <si>
    <t>Dollar volume</t>
  </si>
  <si>
    <t>log(cumulative dollar volume)</t>
  </si>
  <si>
    <t>Spread / depth</t>
  </si>
  <si>
    <t>bps + dollar depth</t>
  </si>
  <si>
    <t>Reject obviously incompatible liquidity states</t>
  </si>
  <si>
    <t>Only quote state through t</t>
  </si>
  <si>
    <t>Catalyst class</t>
  </si>
  <si>
    <t>categorical</t>
  </si>
  <si>
    <t>Exact or explicitly stratified mismatch</t>
  </si>
  <si>
    <t>Use first-public timestamp</t>
  </si>
  <si>
    <t>Reverse-split state</t>
  </si>
  <si>
    <t>recency + cumulative 2y ratio</t>
  </si>
  <si>
    <t>Exact bucket preferred</t>
  </si>
  <si>
    <t>Corporate actions effective by t only</t>
  </si>
  <si>
    <t>Foreign issuer</t>
  </si>
  <si>
    <t>boolean / jurisdiction class</t>
  </si>
  <si>
    <t>Exact for manipulation studies</t>
  </si>
  <si>
    <t>0.5</t>
  </si>
  <si>
    <t>Do not use as guilt proxy</t>
  </si>
  <si>
    <t>Social state</t>
  </si>
  <si>
    <t>unique-user velocity / HHI / platform breadth</t>
  </si>
  <si>
    <t>No posts after t</t>
  </si>
  <si>
    <t>Outcome variables</t>
  </si>
  <si>
    <t>MFE/MAE/barrier hits/collapse</t>
  </si>
  <si>
    <t>NEVER MATCH ON</t>
  </si>
  <si>
    <t>0.0</t>
  </si>
  <si>
    <t>Strictly post-treatment; forbidden</t>
  </si>
  <si>
    <t>Feature Snapshots</t>
  </si>
  <si>
    <t>Ingestion table. All values must be observable by prediction_timestamp_et; knowledge_cutoff_et enforces no-lookahead.</t>
  </si>
  <si>
    <t>snapshot_id</t>
  </si>
  <si>
    <t>prediction_timestamp_et</t>
  </si>
  <si>
    <t>knowledge_cutoff_et</t>
  </si>
  <si>
    <t>session_regime</t>
  </si>
  <si>
    <t>price</t>
  </si>
  <si>
    <t>prior_close</t>
  </si>
  <si>
    <t>return_from_prior_close_pct</t>
  </si>
  <si>
    <t>market_cap</t>
  </si>
  <si>
    <t>reported_float</t>
  </si>
  <si>
    <t>effective_float_low</t>
  </si>
  <si>
    <t>effective_float_base</t>
  </si>
  <si>
    <t>effective_float_high</t>
  </si>
  <si>
    <t>float_confidence</t>
  </si>
  <si>
    <t>cum_volume</t>
  </si>
  <si>
    <t>cum_dollar_volume</t>
  </si>
  <si>
    <t>time_adjusted_rvol</t>
  </si>
  <si>
    <t>rvol_acceleration</t>
  </si>
  <si>
    <t>turnover_base</t>
  </si>
  <si>
    <t>turnover_velocity</t>
  </si>
  <si>
    <t>spread_bps</t>
  </si>
  <si>
    <t>top_depth_dollars</t>
  </si>
  <si>
    <t>depth_25bps_dollars</t>
  </si>
  <si>
    <t>price_impact_10k</t>
  </si>
  <si>
    <t>scanner_rank</t>
  </si>
  <si>
    <t>top_gainer_flag</t>
  </si>
  <si>
    <t>catalyst_timestamp</t>
  </si>
  <si>
    <t>reverse_split_days_ago</t>
  </si>
  <si>
    <t>cumulative_split_ratio_2y</t>
  </si>
  <si>
    <t>si_pct_float</t>
  </si>
  <si>
    <t>si_age_days</t>
  </si>
  <si>
    <t>borrow_fee_pct</t>
  </si>
  <si>
    <t>borrow_available</t>
  </si>
  <si>
    <t>social_unique_users_5m</t>
  </si>
  <si>
    <t>social_new_user_rate</t>
  </si>
  <si>
    <t>social_hhi</t>
  </si>
  <si>
    <t>platform_count</t>
  </si>
  <si>
    <t>attention_price_efficiency</t>
  </si>
  <si>
    <t>price_dollar_volume_efficiency</t>
  </si>
  <si>
    <t>data_quality_flag</t>
  </si>
  <si>
    <t>source_version</t>
  </si>
  <si>
    <t>Forward Outcomes</t>
  </si>
  <si>
    <t>Post-event fields are physically separated from Feature_Snapshots so they cannot enter matching by accident.</t>
  </si>
  <si>
    <t>outcome_id</t>
  </si>
  <si>
    <t>upper_barrier_pct</t>
  </si>
  <si>
    <t>lower_barrier_pct</t>
  </si>
  <si>
    <t>horizon_min</t>
  </si>
  <si>
    <t>upper_hit_first</t>
  </si>
  <si>
    <t>lower_hit_first</t>
  </si>
  <si>
    <t>time_to_first_barrier_sec</t>
  </si>
  <si>
    <t>ret_5m_pct</t>
  </si>
  <si>
    <t>ret_15m_pct</t>
  </si>
  <si>
    <t>ret_30m_pct</t>
  </si>
  <si>
    <t>ret_60m_pct</t>
  </si>
  <si>
    <t>ret_eod_pct</t>
  </si>
  <si>
    <t>mfe_pct</t>
  </si>
  <si>
    <t>mae_pct</t>
  </si>
  <si>
    <t>session_peak_price</t>
  </si>
  <si>
    <t>session_trough_price</t>
  </si>
  <si>
    <t>time_of_peak_et</t>
  </si>
  <si>
    <t>time_of_trough_et</t>
  </si>
  <si>
    <t>halt_count_after_t</t>
  </si>
  <si>
    <t>down_halt_after_t</t>
  </si>
  <si>
    <t>second_ignition_flag</t>
  </si>
  <si>
    <t>collapse_from_peak_pct</t>
  </si>
  <si>
    <t>tradeable_exit_flag</t>
  </si>
  <si>
    <t>simulated_slippage_bps</t>
  </si>
  <si>
    <t>fill_probability</t>
  </si>
  <si>
    <t>outcome_version</t>
  </si>
  <si>
    <t>Source Registry</t>
  </si>
  <si>
    <t>Primary-source URLs are stored for verified seed cases; foundational-only cases are explicitly flagged for source-by-source ingestion.</t>
  </si>
  <si>
    <t>source_id</t>
  </si>
  <si>
    <t>domain</t>
  </si>
  <si>
    <t>source_type</t>
  </si>
  <si>
    <t>url_or_reference</t>
  </si>
  <si>
    <t>purpose</t>
  </si>
  <si>
    <t>SRC001</t>
  </si>
  <si>
    <t>Internal research</t>
  </si>
  <si>
    <t>Foundational research</t>
  </si>
  <si>
    <t>MR. MICHAEL foundational report, 2026-08-21</t>
  </si>
  <si>
    <t>Taxonomy, seed cases, schema, matching methodology</t>
  </si>
  <si>
    <t>SRC002</t>
  </si>
  <si>
    <t>SEC</t>
  </si>
  <si>
    <t>Trading suspension</t>
  </si>
  <si>
    <t>QMMM regulatory outcome</t>
  </si>
  <si>
    <t>SRC003</t>
  </si>
  <si>
    <t>6-K</t>
  </si>
  <si>
    <t>QMMM crypto-treasury catalyst</t>
  </si>
  <si>
    <t>SRC004</t>
  </si>
  <si>
    <t>SDM regulatory outcome</t>
  </si>
  <si>
    <t>SRC005</t>
  </si>
  <si>
    <t>424B4</t>
  </si>
  <si>
    <t>SDM IPO size/price</t>
  </si>
  <si>
    <t>SRC006</t>
  </si>
  <si>
    <t>Suspension order</t>
  </si>
  <si>
    <t>LAWR social/screenshot behavior</t>
  </si>
  <si>
    <t>SRC007</t>
  </si>
  <si>
    <t>Nasdaq Trader</t>
  </si>
  <si>
    <t>Corporate action</t>
  </si>
  <si>
    <t>HOLO 1-for-10 reverse split</t>
  </si>
  <si>
    <t>SRC008</t>
  </si>
  <si>
    <t>Issuer disclosure</t>
  </si>
  <si>
    <t>HOLO post-split shares</t>
  </si>
  <si>
    <t>SRC009</t>
  </si>
  <si>
    <t>DRUG event-date context</t>
  </si>
  <si>
    <t>SRC010</t>
  </si>
  <si>
    <t>Issuer</t>
  </si>
  <si>
    <t>Press release</t>
  </si>
  <si>
    <t>DRUG private placement</t>
  </si>
  <si>
    <t>SRC011</t>
  </si>
  <si>
    <t>F-1</t>
  </si>
  <si>
    <t>RYDE price / financing context</t>
  </si>
  <si>
    <t>Seed Cohort Summary</t>
  </si>
  <si>
    <t>These counts describe the current researched seed cohort only; they are not production-universe prevalence estimates.</t>
  </si>
  <si>
    <t>Metric</t>
  </si>
  <si>
    <t>Count</t>
  </si>
  <si>
    <t>Seed events</t>
  </si>
  <si>
    <t>Runner-prefix labels</t>
  </si>
  <si>
    <t>Rows containing failure/control labels</t>
  </si>
  <si>
    <t>Provisional control links</t>
  </si>
  <si>
    <t>Verified-seed rows</t>
  </si>
  <si>
    <t>Foundational-only rows</t>
  </si>
  <si>
    <t>Data Dictionary</t>
  </si>
  <si>
    <t>Core field semantics and leakage classification.</t>
  </si>
  <si>
    <t>field</t>
  </si>
  <si>
    <t>table</t>
  </si>
  <si>
    <t>definition</t>
  </si>
  <si>
    <t>allowed / expected values</t>
  </si>
  <si>
    <t>leakage class</t>
  </si>
  <si>
    <t>Event_Master</t>
  </si>
  <si>
    <t>Stable identifier for one causal/event episode</t>
  </si>
  <si>
    <t>TICKER_YYYY_MM_DD or equivalent</t>
  </si>
  <si>
    <t>Identifier</t>
  </si>
  <si>
    <t>Research outcome class; not a model input</t>
  </si>
  <si>
    <t>RUNNER / FAILED_RUNNER / CONTROL_FAILURE / etc.</t>
  </si>
  <si>
    <t>POST-EVENT LABEL</t>
  </si>
  <si>
    <t>Feature_Snapshots</t>
  </si>
  <si>
    <t>Decision time for feature snapshot</t>
  </si>
  <si>
    <t>ET timestamp</t>
  </si>
  <si>
    <t>PRE-EVENT</t>
  </si>
  <si>
    <t>Latest information timestamp allowed into snapshot</t>
  </si>
  <si>
    <t>&lt;= prediction_timestamp_et</t>
  </si>
  <si>
    <t>PRE-EVENT GUARD</t>
  </si>
  <si>
    <t>effective_float_low/base/high</t>
  </si>
  <si>
    <t>Point-in-time interval estimate of tradable supply</t>
  </si>
  <si>
    <t>shares + confidence</t>
  </si>
  <si>
    <t>Cumulative volume / historical cumulative volume at same clock time</t>
  </si>
  <si>
    <t>positive ratio</t>
  </si>
  <si>
    <t>Cumulative volume / effective_float_base</t>
  </si>
  <si>
    <t>Concentration of social attention across accounts/communities</t>
  </si>
  <si>
    <t>0–1 ideally</t>
  </si>
  <si>
    <t>Outcomes</t>
  </si>
  <si>
    <t>Whether favorable barrier was reached before adverse barrier</t>
  </si>
  <si>
    <t>TRUE/FALSE</t>
  </si>
  <si>
    <t>POST-EVENT</t>
  </si>
  <si>
    <t>Maximum favorable excursion from prediction timestamp</t>
  </si>
  <si>
    <t>percentage</t>
  </si>
  <si>
    <t>Maximum adverse excursion from prediction timestamp</t>
  </si>
  <si>
    <t>Matched_Controls</t>
  </si>
  <si>
    <t>Robust standardized pre-event distance after calipers</t>
  </si>
  <si>
    <t>lower = closer</t>
  </si>
  <si>
    <t>DERIVED PRE-EVENT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</si>
</sst>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BF7"/>
      </patternFill>
    </fill>
    <fill>
      <patternFill patternType="solid">
        <fgColor rgb="FF275D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</cellXfs>
  <cellStyles count="1">
    <cellStyle name="Normal" xfId="0" builtinId="0"/>
  </cellStyles>
  <dxfs count="5"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MasterTable" displayName="EventMasterTable" ref="A4:U15" totalsRowShown="0">
  <tableColumns count="21">
    <tableColumn id="1" xr3:uid="{00000000-0010-0000-0000-000001000000}" name="event_id"/>
    <tableColumn id="2" xr3:uid="{00000000-0010-0000-0000-000002000000}" name="ticker"/>
    <tableColumn id="3" xr3:uid="{00000000-0010-0000-0000-000003000000}" name="issuer"/>
    <tableColumn id="4" xr3:uid="{00000000-0010-0000-0000-000004000000}" name="event_date"/>
    <tableColumn id="5" xr3:uid="{00000000-0010-0000-0000-000005000000}" name="event_window"/>
    <tableColumn id="6" xr3:uid="{00000000-0010-0000-0000-000006000000}" name="exchange"/>
    <tableColumn id="7" xr3:uid="{00000000-0010-0000-0000-000007000000}" name="label"/>
    <tableColumn id="8" xr3:uid="{00000000-0010-0000-0000-000008000000}" name="taxonomy"/>
    <tableColumn id="9" xr3:uid="{00000000-0010-0000-0000-000009000000}" name="catalyst_type"/>
    <tableColumn id="10" xr3:uid="{00000000-0010-0000-0000-00000A000000}" name="catalyst_quality"/>
    <tableColumn id="11" xr3:uid="{00000000-0010-0000-0000-00000B000000}" name="headline_move_pct"/>
    <tableColumn id="12" xr3:uid="{00000000-0010-0000-0000-00000C000000}" name="volume_shares"/>
    <tableColumn id="13" xr3:uid="{00000000-0010-0000-0000-00000D000000}" name="reference_price"/>
    <tableColumn id="14" xr3:uid="{00000000-0010-0000-0000-00000E000000}" name="reverse_split_state"/>
    <tableColumn id="15" xr3:uid="{00000000-0010-0000-0000-00000F000000}" name="foreign_issuer"/>
    <tableColumn id="16" xr3:uid="{00000000-0010-0000-0000-000010000000}" name="regulatory_outcome"/>
    <tableColumn id="17" xr3:uid="{00000000-0010-0000-0000-000011000000}" name="failure_mode"/>
    <tableColumn id="18" xr3:uid="{00000000-0010-0000-0000-000012000000}" name="status"/>
    <tableColumn id="19" xr3:uid="{00000000-0010-0000-0000-000013000000}" name="source_1"/>
    <tableColumn id="20" xr3:uid="{00000000-0010-0000-0000-000014000000}" name="source_2"/>
    <tableColumn id="21" xr3:uid="{00000000-0010-0000-0000-00001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chedControlsTable" displayName="MatchedControlsTable" ref="A4:I11" totalsRowShown="0">
  <tableColumns count="9">
    <tableColumn id="1" xr3:uid="{00000000-0010-0000-0100-000001000000}" name="match_id"/>
    <tableColumn id="2" xr3:uid="{00000000-0010-0000-0100-000002000000}" name="treated_event_id"/>
    <tableColumn id="3" xr3:uid="{00000000-0010-0000-0100-000003000000}" name="control_event_id"/>
    <tableColumn id="4" xr3:uid="{00000000-0010-0000-0100-000004000000}" name="match_class"/>
    <tableColumn id="5" xr3:uid="{00000000-0010-0000-0100-000005000000}" name="match_status"/>
    <tableColumn id="6" xr3:uid="{00000000-0010-0000-0100-000006000000}" name="rationale"/>
    <tableColumn id="7" xr3:uid="{00000000-0010-0000-0100-000007000000}" name="hard_match_dimensions"/>
    <tableColumn id="8" xr3:uid="{00000000-0010-0000-0100-000008000000}" name="missing_for_statistical_match"/>
    <tableColumn id="9" xr3:uid="{00000000-0010-0000-0100-000009000000}" name="match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chRulesTable" displayName="MatchRulesTable" ref="A4:E19" totalsRowShown="0">
  <tableColumns count="5">
    <tableColumn id="1" xr3:uid="{00000000-0010-0000-0200-000001000000}" name="Variable"/>
    <tableColumn id="2" xr3:uid="{00000000-0010-0000-0200-000002000000}" name="Transform / bucket"/>
    <tableColumn id="3" xr3:uid="{00000000-0010-0000-0200-000003000000}" name="Hard caliper"/>
    <tableColumn id="4" xr3:uid="{00000000-0010-0000-0200-000004000000}" name="Default weight"/>
    <tableColumn id="5" xr3:uid="{00000000-0010-0000-0200-000005000000}" name="Leakage 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4:E15" totalsRowShown="0">
  <tableColumns count="5">
    <tableColumn id="1" xr3:uid="{00000000-0010-0000-0300-000001000000}" name="source_id"/>
    <tableColumn id="2" xr3:uid="{00000000-0010-0000-0300-000002000000}" name="domain"/>
    <tableColumn id="3" xr3:uid="{00000000-0010-0000-0300-000003000000}" name="source_type"/>
    <tableColumn id="4" xr3:uid="{00000000-0010-0000-0300-000004000000}" name="url_or_reference"/>
    <tableColumn id="5" xr3:uid="{00000000-0010-0000-0300-000005000000}" name="purpo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DictionaryTable" displayName="DataDictionaryTable" ref="A4:E16" totalsRowShown="0">
  <tableColumns count="5">
    <tableColumn id="1" xr3:uid="{00000000-0010-0000-0400-000001000000}" name="field"/>
    <tableColumn id="2" xr3:uid="{00000000-0010-0000-0400-000002000000}" name="table"/>
    <tableColumn id="3" xr3:uid="{00000000-0010-0000-0400-000003000000}" name="definition"/>
    <tableColumn id="4" xr3:uid="{00000000-0010-0000-0400-000004000000}" name="allowed / expected values"/>
    <tableColumn id="5" xr3:uid="{00000000-0010-0000-0400-000005000000}" name="leakage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opLeftCell="D3" zoomScaleNormal="60" zoomScaleSheetLayoutView="100" workbookViewId="0"/>
  </sheetViews>
  <sheetFormatPr defaultRowHeight="15" x14ac:dyDescent="0.2"/>
  <cols>
    <col min="1" max="1" width="23.9453125" customWidth="1"/>
    <col min="2" max="2" width="78.0234375" customWidth="1"/>
    <col min="3" max="8" width="9.953125" customWidth="1"/>
  </cols>
  <sheetData>
    <row r="1" spans="1:8" ht="27.95" customHeight="1" x14ac:dyDescent="0.2">
      <c r="A1" s="3" t="s">
        <v>0</v>
      </c>
      <c r="B1" s="3"/>
      <c r="C1" s="3"/>
      <c r="D1" s="3"/>
      <c r="E1" s="3"/>
      <c r="F1" s="3"/>
      <c r="G1" s="3"/>
      <c r="H1" s="3"/>
    </row>
    <row r="2" spans="1:8" ht="33.950000000000003" customHeight="1" x14ac:dyDescent="0.2">
      <c r="A2" s="4" t="s">
        <v>1</v>
      </c>
      <c r="B2" s="4"/>
      <c r="C2" s="4"/>
      <c r="D2" s="4"/>
      <c r="E2" s="4"/>
      <c r="F2" s="4"/>
      <c r="G2" s="4"/>
      <c r="H2" s="4"/>
    </row>
    <row r="4" spans="1:8" x14ac:dyDescent="0.2">
      <c r="A4" s="1" t="s">
        <v>2</v>
      </c>
      <c r="B4" s="1" t="s">
        <v>3</v>
      </c>
      <c r="C4" s="1"/>
      <c r="D4" s="1"/>
      <c r="E4" s="1"/>
      <c r="F4" s="1"/>
      <c r="G4" s="1"/>
      <c r="H4" s="1"/>
    </row>
    <row r="5" spans="1:8" x14ac:dyDescent="0.2">
      <c r="A5" s="2" t="s">
        <v>4</v>
      </c>
      <c r="B5" s="2" t="s">
        <v>5</v>
      </c>
      <c r="C5" s="2"/>
      <c r="D5" s="2"/>
      <c r="E5" s="2"/>
      <c r="F5" s="2"/>
      <c r="G5" s="2"/>
      <c r="H5" s="2"/>
    </row>
    <row r="6" spans="1:8" ht="27.75" x14ac:dyDescent="0.2">
      <c r="A6" s="2" t="s">
        <v>6</v>
      </c>
      <c r="B6" s="2" t="s">
        <v>7</v>
      </c>
      <c r="C6" s="2"/>
      <c r="D6" s="2"/>
      <c r="E6" s="2"/>
      <c r="F6" s="2"/>
      <c r="G6" s="2"/>
      <c r="H6" s="2"/>
    </row>
    <row r="7" spans="1:8" x14ac:dyDescent="0.2">
      <c r="A7" s="2" t="s">
        <v>8</v>
      </c>
      <c r="B7" s="2" t="s">
        <v>9</v>
      </c>
      <c r="C7" s="2"/>
      <c r="D7" s="2"/>
      <c r="E7" s="2"/>
      <c r="F7" s="2"/>
      <c r="G7" s="2"/>
      <c r="H7" s="2"/>
    </row>
    <row r="8" spans="1:8" ht="27.75" x14ac:dyDescent="0.2">
      <c r="A8" s="2" t="s">
        <v>10</v>
      </c>
      <c r="B8" s="2" t="s">
        <v>11</v>
      </c>
      <c r="C8" s="2"/>
      <c r="D8" s="2"/>
      <c r="E8" s="2"/>
      <c r="F8" s="2"/>
      <c r="G8" s="2"/>
      <c r="H8" s="2"/>
    </row>
    <row r="9" spans="1:8" ht="27.75" x14ac:dyDescent="0.2">
      <c r="A9" s="2" t="s">
        <v>12</v>
      </c>
      <c r="B9" s="2" t="s">
        <v>13</v>
      </c>
      <c r="C9" s="2"/>
      <c r="D9" s="2"/>
      <c r="E9" s="2"/>
      <c r="F9" s="2"/>
      <c r="G9" s="2"/>
      <c r="H9" s="2"/>
    </row>
    <row r="10" spans="1:8" ht="27.75" x14ac:dyDescent="0.2">
      <c r="A10" s="2" t="s">
        <v>14</v>
      </c>
      <c r="B10" s="2" t="s">
        <v>15</v>
      </c>
      <c r="C10" s="2"/>
      <c r="D10" s="2"/>
      <c r="E10" s="2"/>
      <c r="F10" s="2"/>
      <c r="G10" s="2"/>
      <c r="H10" s="2"/>
    </row>
    <row r="11" spans="1:8" ht="27.75" x14ac:dyDescent="0.2">
      <c r="A11" s="2" t="s">
        <v>16</v>
      </c>
      <c r="B11" s="2" t="s">
        <v>17</v>
      </c>
      <c r="C11" s="2"/>
      <c r="D11" s="2"/>
      <c r="E11" s="2"/>
      <c r="F11" s="2"/>
      <c r="G11" s="2"/>
      <c r="H11" s="2"/>
    </row>
    <row r="12" spans="1:8" ht="27.75" x14ac:dyDescent="0.2">
      <c r="A12" s="2" t="s">
        <v>18</v>
      </c>
      <c r="B12" s="2" t="s">
        <v>19</v>
      </c>
      <c r="C12" s="2"/>
      <c r="D12" s="2"/>
      <c r="E12" s="2"/>
      <c r="F12" s="2"/>
      <c r="G12" s="2"/>
      <c r="H12" s="2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"/>
  <sheetViews>
    <sheetView tabSelected="1" topLeftCell="H1" zoomScaleNormal="60" zoomScaleSheetLayoutView="100" workbookViewId="0">
      <selection activeCell="I7" sqref="I7"/>
    </sheetView>
  </sheetViews>
  <sheetFormatPr defaultRowHeight="15" x14ac:dyDescent="0.2"/>
  <cols>
    <col min="1" max="2" width="18.0234375" customWidth="1"/>
    <col min="3" max="3" width="29.99609375" customWidth="1"/>
    <col min="4" max="7" width="18.0234375" customWidth="1"/>
    <col min="8" max="10" width="29.99609375" customWidth="1"/>
    <col min="11" max="13" width="18.0234375" customWidth="1"/>
    <col min="14" max="14" width="29.99609375" customWidth="1"/>
    <col min="15" max="15" width="18.0234375" customWidth="1"/>
    <col min="16" max="17" width="29.99609375" customWidth="1"/>
    <col min="18" max="18" width="18.0234375" customWidth="1"/>
    <col min="19" max="20" width="41.96875" customWidth="1"/>
    <col min="21" max="21" width="52.05859375" customWidth="1"/>
  </cols>
  <sheetData>
    <row r="1" spans="1:21" ht="27.95" customHeight="1" x14ac:dyDescent="0.2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33.950000000000003" customHeight="1" x14ac:dyDescent="0.2">
      <c r="A2" s="4" t="s">
        <v>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4" spans="1:21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42</v>
      </c>
    </row>
    <row r="5" spans="1:21" ht="41.25" x14ac:dyDescent="0.2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>
        <v>959</v>
      </c>
      <c r="L5" s="2"/>
      <c r="M5" s="2">
        <v>119.4</v>
      </c>
      <c r="N5" s="2" t="s">
        <v>53</v>
      </c>
      <c r="O5" s="2" t="s">
        <v>54</v>
      </c>
      <c r="P5" s="2" t="s">
        <v>55</v>
      </c>
      <c r="Q5" s="2" t="s">
        <v>56</v>
      </c>
      <c r="R5" s="2" t="s">
        <v>57</v>
      </c>
      <c r="S5" s="2" t="s">
        <v>58</v>
      </c>
      <c r="T5" s="2" t="s">
        <v>59</v>
      </c>
      <c r="U5" s="2" t="s">
        <v>60</v>
      </c>
    </row>
    <row r="6" spans="1:21" ht="41.25" x14ac:dyDescent="0.2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48</v>
      </c>
      <c r="G6" s="2" t="s">
        <v>66</v>
      </c>
      <c r="H6" s="2" t="s">
        <v>67</v>
      </c>
      <c r="I6" s="2" t="s">
        <v>68</v>
      </c>
      <c r="J6" s="2" t="s">
        <v>69</v>
      </c>
      <c r="K6" s="2"/>
      <c r="L6" s="2"/>
      <c r="M6" s="2">
        <v>4</v>
      </c>
      <c r="N6" s="2" t="s">
        <v>53</v>
      </c>
      <c r="O6" s="2" t="s">
        <v>54</v>
      </c>
      <c r="P6" s="2" t="s">
        <v>70</v>
      </c>
      <c r="Q6" s="2" t="s">
        <v>71</v>
      </c>
      <c r="R6" s="2" t="s">
        <v>57</v>
      </c>
      <c r="S6" s="2" t="s">
        <v>72</v>
      </c>
      <c r="T6" s="2" t="s">
        <v>73</v>
      </c>
      <c r="U6" s="2" t="s">
        <v>74</v>
      </c>
    </row>
    <row r="7" spans="1:21" ht="41.25" x14ac:dyDescent="0.2">
      <c r="A7" s="2" t="s">
        <v>75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48</v>
      </c>
      <c r="G7" s="2" t="s">
        <v>66</v>
      </c>
      <c r="H7" s="2" t="s">
        <v>80</v>
      </c>
      <c r="I7" s="2" t="s">
        <v>81</v>
      </c>
      <c r="J7" s="2" t="s">
        <v>69</v>
      </c>
      <c r="K7" s="2"/>
      <c r="L7" s="2"/>
      <c r="M7" s="2"/>
      <c r="N7" s="2" t="s">
        <v>53</v>
      </c>
      <c r="O7" s="2" t="s">
        <v>54</v>
      </c>
      <c r="P7" s="2" t="s">
        <v>82</v>
      </c>
      <c r="Q7" s="2" t="s">
        <v>83</v>
      </c>
      <c r="R7" s="2" t="s">
        <v>57</v>
      </c>
      <c r="S7" s="2" t="s">
        <v>84</v>
      </c>
      <c r="T7" s="2" t="s">
        <v>85</v>
      </c>
      <c r="U7" s="2" t="s">
        <v>86</v>
      </c>
    </row>
    <row r="8" spans="1:21" ht="41.25" x14ac:dyDescent="0.2">
      <c r="A8" s="2" t="s">
        <v>87</v>
      </c>
      <c r="B8" s="2" t="s">
        <v>88</v>
      </c>
      <c r="C8" s="2" t="s">
        <v>89</v>
      </c>
      <c r="D8" s="2"/>
      <c r="E8" s="2" t="s">
        <v>90</v>
      </c>
      <c r="F8" s="2" t="s">
        <v>91</v>
      </c>
      <c r="G8" s="2" t="s">
        <v>66</v>
      </c>
      <c r="H8" s="2" t="s">
        <v>92</v>
      </c>
      <c r="I8" s="2" t="s">
        <v>93</v>
      </c>
      <c r="J8" s="2" t="s">
        <v>69</v>
      </c>
      <c r="K8" s="2"/>
      <c r="L8" s="2"/>
      <c r="M8" s="2"/>
      <c r="N8" s="2" t="s">
        <v>94</v>
      </c>
      <c r="O8" s="2" t="s">
        <v>54</v>
      </c>
      <c r="P8" s="2" t="s">
        <v>95</v>
      </c>
      <c r="Q8" s="2" t="s">
        <v>96</v>
      </c>
      <c r="R8" s="2" t="s">
        <v>97</v>
      </c>
      <c r="S8" s="2" t="s">
        <v>98</v>
      </c>
      <c r="T8" s="2"/>
      <c r="U8" s="2" t="s">
        <v>99</v>
      </c>
    </row>
    <row r="9" spans="1:21" ht="41.25" x14ac:dyDescent="0.2">
      <c r="A9" s="2" t="s">
        <v>100</v>
      </c>
      <c r="B9" s="2" t="s">
        <v>101</v>
      </c>
      <c r="C9" s="2" t="s">
        <v>102</v>
      </c>
      <c r="D9" s="2" t="s">
        <v>103</v>
      </c>
      <c r="E9" s="2" t="s">
        <v>104</v>
      </c>
      <c r="F9" s="2" t="s">
        <v>91</v>
      </c>
      <c r="G9" s="2" t="s">
        <v>105</v>
      </c>
      <c r="H9" s="2" t="s">
        <v>106</v>
      </c>
      <c r="I9" s="2" t="s">
        <v>107</v>
      </c>
      <c r="J9" s="2" t="s">
        <v>108</v>
      </c>
      <c r="K9" s="2">
        <v>1445</v>
      </c>
      <c r="L9" s="2">
        <v>100000000</v>
      </c>
      <c r="M9" s="2">
        <v>21.7</v>
      </c>
      <c r="N9" s="2" t="s">
        <v>109</v>
      </c>
      <c r="O9" s="2" t="s">
        <v>54</v>
      </c>
      <c r="P9" s="2" t="s">
        <v>110</v>
      </c>
      <c r="Q9" s="2" t="s">
        <v>111</v>
      </c>
      <c r="R9" s="2" t="s">
        <v>57</v>
      </c>
      <c r="S9" s="2" t="s">
        <v>112</v>
      </c>
      <c r="T9" s="2" t="s">
        <v>113</v>
      </c>
      <c r="U9" s="2" t="s">
        <v>114</v>
      </c>
    </row>
    <row r="10" spans="1:21" ht="41.25" x14ac:dyDescent="0.2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119</v>
      </c>
      <c r="F10" s="2" t="s">
        <v>48</v>
      </c>
      <c r="G10" s="2" t="s">
        <v>105</v>
      </c>
      <c r="H10" s="2" t="s">
        <v>120</v>
      </c>
      <c r="I10" s="2" t="s">
        <v>121</v>
      </c>
      <c r="J10" s="2" t="s">
        <v>122</v>
      </c>
      <c r="K10" s="2"/>
      <c r="L10" s="2"/>
      <c r="M10" s="2"/>
      <c r="N10" s="2" t="s">
        <v>123</v>
      </c>
      <c r="O10" s="2" t="s">
        <v>54</v>
      </c>
      <c r="P10" s="2" t="s">
        <v>124</v>
      </c>
      <c r="Q10" s="2" t="s">
        <v>125</v>
      </c>
      <c r="R10" s="2" t="s">
        <v>57</v>
      </c>
      <c r="S10" s="2" t="s">
        <v>126</v>
      </c>
      <c r="T10" s="2" t="s">
        <v>127</v>
      </c>
      <c r="U10" s="2" t="s">
        <v>128</v>
      </c>
    </row>
    <row r="11" spans="1:21" ht="27.75" x14ac:dyDescent="0.2">
      <c r="A11" s="2" t="s">
        <v>129</v>
      </c>
      <c r="B11" s="2" t="s">
        <v>130</v>
      </c>
      <c r="C11" s="2" t="s">
        <v>131</v>
      </c>
      <c r="D11" s="2" t="s">
        <v>132</v>
      </c>
      <c r="E11" s="2" t="s">
        <v>133</v>
      </c>
      <c r="F11" s="2" t="s">
        <v>134</v>
      </c>
      <c r="G11" s="2" t="s">
        <v>135</v>
      </c>
      <c r="H11" s="2" t="s">
        <v>136</v>
      </c>
      <c r="I11" s="2" t="s">
        <v>137</v>
      </c>
      <c r="J11" s="2" t="s">
        <v>138</v>
      </c>
      <c r="K11" s="2"/>
      <c r="L11" s="2"/>
      <c r="M11" s="2">
        <v>13.11</v>
      </c>
      <c r="N11" s="2" t="s">
        <v>53</v>
      </c>
      <c r="O11" s="2" t="s">
        <v>54</v>
      </c>
      <c r="P11" s="2" t="s">
        <v>139</v>
      </c>
      <c r="Q11" s="2" t="s">
        <v>140</v>
      </c>
      <c r="R11" s="2" t="s">
        <v>57</v>
      </c>
      <c r="S11" s="2" t="s">
        <v>141</v>
      </c>
      <c r="T11" s="2" t="s">
        <v>142</v>
      </c>
      <c r="U11" s="2" t="s">
        <v>143</v>
      </c>
    </row>
    <row r="12" spans="1:21" ht="27.75" x14ac:dyDescent="0.2">
      <c r="A12" s="2" t="s">
        <v>144</v>
      </c>
      <c r="B12" s="2" t="s">
        <v>145</v>
      </c>
      <c r="C12" s="2" t="s">
        <v>146</v>
      </c>
      <c r="D12" s="2"/>
      <c r="E12" s="2" t="s">
        <v>147</v>
      </c>
      <c r="F12" s="2" t="s">
        <v>91</v>
      </c>
      <c r="G12" s="2" t="s">
        <v>148</v>
      </c>
      <c r="H12" s="2" t="s">
        <v>149</v>
      </c>
      <c r="I12" s="2" t="s">
        <v>150</v>
      </c>
      <c r="J12" s="2" t="s">
        <v>151</v>
      </c>
      <c r="K12" s="2">
        <v>78</v>
      </c>
      <c r="L12" s="2">
        <v>15800000</v>
      </c>
      <c r="M12" s="2"/>
      <c r="N12" s="2" t="s">
        <v>152</v>
      </c>
      <c r="O12" s="2" t="s">
        <v>54</v>
      </c>
      <c r="P12" s="2" t="s">
        <v>153</v>
      </c>
      <c r="Q12" s="2" t="s">
        <v>154</v>
      </c>
      <c r="R12" s="2" t="s">
        <v>97</v>
      </c>
      <c r="S12" s="2" t="s">
        <v>98</v>
      </c>
      <c r="T12" s="2"/>
      <c r="U12" s="2" t="s">
        <v>155</v>
      </c>
    </row>
    <row r="13" spans="1:21" ht="27.75" x14ac:dyDescent="0.2">
      <c r="A13" s="2" t="s">
        <v>156</v>
      </c>
      <c r="B13" s="2" t="s">
        <v>145</v>
      </c>
      <c r="C13" s="2" t="s">
        <v>146</v>
      </c>
      <c r="D13" s="2"/>
      <c r="E13" s="2" t="s">
        <v>157</v>
      </c>
      <c r="F13" s="2" t="s">
        <v>91</v>
      </c>
      <c r="G13" s="2" t="s">
        <v>105</v>
      </c>
      <c r="H13" s="2" t="s">
        <v>158</v>
      </c>
      <c r="I13" s="2" t="s">
        <v>159</v>
      </c>
      <c r="J13" s="2" t="s">
        <v>160</v>
      </c>
      <c r="K13" s="2">
        <v>50</v>
      </c>
      <c r="L13" s="2"/>
      <c r="M13" s="2"/>
      <c r="N13" s="2" t="s">
        <v>152</v>
      </c>
      <c r="O13" s="2" t="s">
        <v>54</v>
      </c>
      <c r="P13" s="2" t="s">
        <v>153</v>
      </c>
      <c r="Q13" s="2" t="s">
        <v>161</v>
      </c>
      <c r="R13" s="2" t="s">
        <v>97</v>
      </c>
      <c r="S13" s="2" t="s">
        <v>98</v>
      </c>
      <c r="T13" s="2"/>
      <c r="U13" s="2" t="s">
        <v>162</v>
      </c>
    </row>
    <row r="14" spans="1:21" ht="27.75" x14ac:dyDescent="0.2">
      <c r="A14" s="2" t="s">
        <v>163</v>
      </c>
      <c r="B14" s="2" t="s">
        <v>164</v>
      </c>
      <c r="C14" s="2" t="s">
        <v>165</v>
      </c>
      <c r="D14" s="2"/>
      <c r="E14" s="2" t="s">
        <v>166</v>
      </c>
      <c r="F14" s="2" t="s">
        <v>91</v>
      </c>
      <c r="G14" s="2" t="s">
        <v>66</v>
      </c>
      <c r="H14" s="2" t="s">
        <v>167</v>
      </c>
      <c r="I14" s="2" t="s">
        <v>168</v>
      </c>
      <c r="J14" s="2" t="s">
        <v>169</v>
      </c>
      <c r="K14" s="2"/>
      <c r="L14" s="2"/>
      <c r="M14" s="2"/>
      <c r="N14" s="2" t="s">
        <v>170</v>
      </c>
      <c r="O14" s="2" t="s">
        <v>54</v>
      </c>
      <c r="P14" s="2" t="s">
        <v>171</v>
      </c>
      <c r="Q14" s="2" t="s">
        <v>172</v>
      </c>
      <c r="R14" s="2" t="s">
        <v>97</v>
      </c>
      <c r="S14" s="2" t="s">
        <v>98</v>
      </c>
      <c r="T14" s="2"/>
      <c r="U14" s="2" t="s">
        <v>173</v>
      </c>
    </row>
    <row r="15" spans="1:21" ht="27.75" x14ac:dyDescent="0.2">
      <c r="A15" s="2" t="s">
        <v>174</v>
      </c>
      <c r="B15" s="2" t="s">
        <v>175</v>
      </c>
      <c r="C15" s="2" t="s">
        <v>176</v>
      </c>
      <c r="D15" s="2"/>
      <c r="E15" s="2" t="s">
        <v>177</v>
      </c>
      <c r="F15" s="2" t="s">
        <v>91</v>
      </c>
      <c r="G15" s="2" t="s">
        <v>66</v>
      </c>
      <c r="H15" s="2" t="s">
        <v>178</v>
      </c>
      <c r="I15" s="2" t="s">
        <v>179</v>
      </c>
      <c r="J15" s="2" t="s">
        <v>169</v>
      </c>
      <c r="K15" s="2"/>
      <c r="L15" s="2"/>
      <c r="M15" s="2"/>
      <c r="N15" s="2" t="s">
        <v>180</v>
      </c>
      <c r="O15" s="2" t="s">
        <v>181</v>
      </c>
      <c r="P15" s="2" t="s">
        <v>182</v>
      </c>
      <c r="Q15" s="2" t="s">
        <v>183</v>
      </c>
      <c r="R15" s="2" t="s">
        <v>97</v>
      </c>
      <c r="S15" s="2" t="s">
        <v>98</v>
      </c>
      <c r="T15" s="2"/>
      <c r="U15" s="2" t="s">
        <v>184</v>
      </c>
    </row>
  </sheetData>
  <mergeCells count="2">
    <mergeCell ref="A1:U1"/>
    <mergeCell ref="A2:U2"/>
  </mergeCells>
  <conditionalFormatting sqref="G5:G15">
    <cfRule type="expression" dxfId="4" priority="1">
      <formula>LEFT(G5,6)="RUNNER"</formula>
    </cfRule>
    <cfRule type="expression" dxfId="3" priority="2">
      <formula>OR(LEFT(G5,7)="CONTROL",LEFT(G5,6)="FAILED")</formula>
    </cfRule>
  </conditionalFormatting>
  <conditionalFormatting sqref="R5:R15">
    <cfRule type="expression" dxfId="2" priority="3">
      <formula>ISNUMBER(SEARCH("FOUNDATIONAL",R5))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zoomScaleNormal="60" zoomScaleSheetLayoutView="100" workbookViewId="0"/>
  </sheetViews>
  <sheetFormatPr defaultRowHeight="15" x14ac:dyDescent="0.2"/>
  <cols>
    <col min="1" max="1" width="11.97265625" customWidth="1"/>
    <col min="2" max="3" width="22.05859375" customWidth="1"/>
    <col min="4" max="4" width="34.03125" customWidth="1"/>
    <col min="5" max="5" width="32.015625" customWidth="1"/>
    <col min="6" max="6" width="62.015625" customWidth="1"/>
    <col min="7" max="7" width="50.04296875" customWidth="1"/>
    <col min="8" max="8" width="62.015625" customWidth="1"/>
    <col min="9" max="9" width="13.98828125" customWidth="1"/>
  </cols>
  <sheetData>
    <row r="1" spans="1:9" ht="27.95" customHeight="1" x14ac:dyDescent="0.2">
      <c r="A1" s="3" t="s">
        <v>185</v>
      </c>
      <c r="B1" s="3"/>
      <c r="C1" s="3"/>
      <c r="D1" s="3"/>
      <c r="E1" s="3"/>
      <c r="F1" s="3"/>
      <c r="G1" s="3"/>
      <c r="H1" s="3"/>
      <c r="I1" s="3"/>
    </row>
    <row r="2" spans="1:9" ht="33.950000000000003" customHeight="1" x14ac:dyDescent="0.2">
      <c r="A2" s="4" t="s">
        <v>186</v>
      </c>
      <c r="B2" s="4"/>
      <c r="C2" s="4"/>
      <c r="D2" s="4"/>
      <c r="E2" s="4"/>
      <c r="F2" s="4"/>
      <c r="G2" s="4"/>
      <c r="H2" s="4"/>
      <c r="I2" s="4"/>
    </row>
    <row r="4" spans="1:9" x14ac:dyDescent="0.2">
      <c r="A4" s="1" t="s">
        <v>187</v>
      </c>
      <c r="B4" s="1" t="s">
        <v>188</v>
      </c>
      <c r="C4" s="1" t="s">
        <v>189</v>
      </c>
      <c r="D4" s="1" t="s">
        <v>190</v>
      </c>
      <c r="E4" s="1" t="s">
        <v>191</v>
      </c>
      <c r="F4" s="1" t="s">
        <v>192</v>
      </c>
      <c r="G4" s="1" t="s">
        <v>193</v>
      </c>
      <c r="H4" s="1" t="s">
        <v>194</v>
      </c>
      <c r="I4" s="1" t="s">
        <v>195</v>
      </c>
    </row>
    <row r="5" spans="1:9" ht="27.75" x14ac:dyDescent="0.2">
      <c r="A5" s="2" t="s">
        <v>196</v>
      </c>
      <c r="B5" s="2" t="s">
        <v>43</v>
      </c>
      <c r="C5" s="2" t="s">
        <v>61</v>
      </c>
      <c r="D5" s="2" t="s">
        <v>197</v>
      </c>
      <c r="E5" s="2" t="s">
        <v>198</v>
      </c>
      <c r="F5" s="2" t="s">
        <v>199</v>
      </c>
      <c r="G5" s="2" t="s">
        <v>200</v>
      </c>
      <c r="H5" s="2" t="s">
        <v>201</v>
      </c>
      <c r="I5" s="2"/>
    </row>
    <row r="6" spans="1:9" ht="27.75" x14ac:dyDescent="0.2">
      <c r="A6" s="2" t="s">
        <v>202</v>
      </c>
      <c r="B6" s="2" t="s">
        <v>43</v>
      </c>
      <c r="C6" s="2" t="s">
        <v>75</v>
      </c>
      <c r="D6" s="2" t="s">
        <v>203</v>
      </c>
      <c r="E6" s="2" t="s">
        <v>198</v>
      </c>
      <c r="F6" s="2" t="s">
        <v>204</v>
      </c>
      <c r="G6" s="2" t="s">
        <v>205</v>
      </c>
      <c r="H6" s="2" t="s">
        <v>206</v>
      </c>
      <c r="I6" s="2"/>
    </row>
    <row r="7" spans="1:9" ht="27.75" x14ac:dyDescent="0.2">
      <c r="A7" s="2" t="s">
        <v>207</v>
      </c>
      <c r="B7" s="2" t="s">
        <v>115</v>
      </c>
      <c r="C7" s="2" t="s">
        <v>163</v>
      </c>
      <c r="D7" s="2" t="s">
        <v>208</v>
      </c>
      <c r="E7" s="2" t="s">
        <v>198</v>
      </c>
      <c r="F7" s="2" t="s">
        <v>209</v>
      </c>
      <c r="G7" s="2" t="s">
        <v>210</v>
      </c>
      <c r="H7" s="2" t="s">
        <v>211</v>
      </c>
      <c r="I7" s="2"/>
    </row>
    <row r="8" spans="1:9" ht="27.75" x14ac:dyDescent="0.2">
      <c r="A8" s="2" t="s">
        <v>212</v>
      </c>
      <c r="B8" s="2" t="s">
        <v>115</v>
      </c>
      <c r="C8" s="2" t="s">
        <v>174</v>
      </c>
      <c r="D8" s="2" t="s">
        <v>208</v>
      </c>
      <c r="E8" s="2" t="s">
        <v>198</v>
      </c>
      <c r="F8" s="2" t="s">
        <v>213</v>
      </c>
      <c r="G8" s="2" t="s">
        <v>214</v>
      </c>
      <c r="H8" s="2" t="s">
        <v>215</v>
      </c>
      <c r="I8" s="2"/>
    </row>
    <row r="9" spans="1:9" ht="27.75" x14ac:dyDescent="0.2">
      <c r="A9" s="2" t="s">
        <v>216</v>
      </c>
      <c r="B9" s="2" t="s">
        <v>100</v>
      </c>
      <c r="C9" s="2" t="s">
        <v>144</v>
      </c>
      <c r="D9" s="2" t="s">
        <v>217</v>
      </c>
      <c r="E9" s="2" t="s">
        <v>198</v>
      </c>
      <c r="F9" s="2" t="s">
        <v>218</v>
      </c>
      <c r="G9" s="2" t="s">
        <v>219</v>
      </c>
      <c r="H9" s="2" t="s">
        <v>220</v>
      </c>
      <c r="I9" s="2"/>
    </row>
    <row r="10" spans="1:9" ht="27.75" x14ac:dyDescent="0.2">
      <c r="A10" s="2" t="s">
        <v>221</v>
      </c>
      <c r="B10" s="2" t="s">
        <v>156</v>
      </c>
      <c r="C10" s="2" t="s">
        <v>144</v>
      </c>
      <c r="D10" s="2" t="s">
        <v>222</v>
      </c>
      <c r="E10" s="2" t="s">
        <v>223</v>
      </c>
      <c r="F10" s="2" t="s">
        <v>224</v>
      </c>
      <c r="G10" s="2" t="s">
        <v>225</v>
      </c>
      <c r="H10" s="2" t="s">
        <v>226</v>
      </c>
      <c r="I10" s="2"/>
    </row>
    <row r="11" spans="1:9" ht="27.75" x14ac:dyDescent="0.2">
      <c r="A11" s="2" t="s">
        <v>227</v>
      </c>
      <c r="B11" s="2" t="s">
        <v>43</v>
      </c>
      <c r="C11" s="2" t="s">
        <v>129</v>
      </c>
      <c r="D11" s="2" t="s">
        <v>228</v>
      </c>
      <c r="E11" s="2" t="s">
        <v>198</v>
      </c>
      <c r="F11" s="2" t="s">
        <v>229</v>
      </c>
      <c r="G11" s="2" t="s">
        <v>230</v>
      </c>
      <c r="H11" s="2" t="s">
        <v>231</v>
      </c>
      <c r="I11" s="2"/>
    </row>
  </sheetData>
  <mergeCells count="2">
    <mergeCell ref="A1:I1"/>
    <mergeCell ref="A2:I2"/>
  </mergeCells>
  <conditionalFormatting sqref="E5:E11">
    <cfRule type="expression" dxfId="1" priority="1">
      <formula>ISNUMBER(SEARCH("PROVISIONAL",E5))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Normal="60" zoomScaleSheetLayoutView="100" workbookViewId="0"/>
  </sheetViews>
  <sheetFormatPr defaultRowHeight="15" x14ac:dyDescent="0.2"/>
  <cols>
    <col min="1" max="1" width="23.9453125" customWidth="1"/>
    <col min="2" max="2" width="36.05078125" customWidth="1"/>
    <col min="3" max="3" width="43.98828125" customWidth="1"/>
    <col min="4" max="4" width="18.0234375" customWidth="1"/>
    <col min="5" max="5" width="50.04296875" customWidth="1"/>
  </cols>
  <sheetData>
    <row r="1" spans="1:5" ht="27.95" customHeight="1" x14ac:dyDescent="0.2">
      <c r="A1" s="3" t="s">
        <v>232</v>
      </c>
      <c r="B1" s="3"/>
      <c r="C1" s="3"/>
      <c r="D1" s="3"/>
      <c r="E1" s="3"/>
    </row>
    <row r="2" spans="1:5" ht="33.950000000000003" customHeight="1" x14ac:dyDescent="0.2">
      <c r="A2" s="4" t="s">
        <v>233</v>
      </c>
      <c r="B2" s="4"/>
      <c r="C2" s="4"/>
      <c r="D2" s="4"/>
      <c r="E2" s="4"/>
    </row>
    <row r="4" spans="1:5" x14ac:dyDescent="0.2">
      <c r="A4" s="1" t="s">
        <v>234</v>
      </c>
      <c r="B4" s="1" t="s">
        <v>235</v>
      </c>
      <c r="C4" s="1" t="s">
        <v>236</v>
      </c>
      <c r="D4" s="1" t="s">
        <v>237</v>
      </c>
      <c r="E4" s="1" t="s">
        <v>238</v>
      </c>
    </row>
    <row r="5" spans="1:5" x14ac:dyDescent="0.2">
      <c r="A5" s="2" t="s">
        <v>239</v>
      </c>
      <c r="B5" s="2" t="s">
        <v>240</v>
      </c>
      <c r="C5" s="2" t="s">
        <v>241</v>
      </c>
      <c r="D5" s="2" t="s">
        <v>242</v>
      </c>
      <c r="E5" s="2" t="s">
        <v>243</v>
      </c>
    </row>
    <row r="6" spans="1:5" x14ac:dyDescent="0.2">
      <c r="A6" s="2" t="s">
        <v>244</v>
      </c>
      <c r="B6" s="2" t="s">
        <v>245</v>
      </c>
      <c r="C6" s="2" t="s">
        <v>246</v>
      </c>
      <c r="D6" s="2" t="s">
        <v>242</v>
      </c>
      <c r="E6" s="2" t="s">
        <v>247</v>
      </c>
    </row>
    <row r="7" spans="1:5" x14ac:dyDescent="0.2">
      <c r="A7" s="2" t="s">
        <v>248</v>
      </c>
      <c r="B7" s="2" t="s">
        <v>249</v>
      </c>
      <c r="C7" s="2" t="s">
        <v>250</v>
      </c>
      <c r="D7" s="2" t="s">
        <v>251</v>
      </c>
      <c r="E7" s="2" t="s">
        <v>252</v>
      </c>
    </row>
    <row r="8" spans="1:5" x14ac:dyDescent="0.2">
      <c r="A8" s="2" t="s">
        <v>253</v>
      </c>
      <c r="B8" s="2" t="s">
        <v>254</v>
      </c>
      <c r="C8" s="2" t="s">
        <v>255</v>
      </c>
      <c r="D8" s="2" t="s">
        <v>256</v>
      </c>
      <c r="E8" s="2" t="s">
        <v>257</v>
      </c>
    </row>
    <row r="9" spans="1:5" ht="27.75" x14ac:dyDescent="0.2">
      <c r="A9" s="2" t="s">
        <v>258</v>
      </c>
      <c r="B9" s="2" t="s">
        <v>259</v>
      </c>
      <c r="C9" s="2" t="s">
        <v>260</v>
      </c>
      <c r="D9" s="2" t="s">
        <v>261</v>
      </c>
      <c r="E9" s="2" t="s">
        <v>262</v>
      </c>
    </row>
    <row r="10" spans="1:5" x14ac:dyDescent="0.2">
      <c r="A10" s="2" t="s">
        <v>263</v>
      </c>
      <c r="B10" s="2" t="s">
        <v>264</v>
      </c>
      <c r="C10" s="2" t="s">
        <v>265</v>
      </c>
      <c r="D10" s="2" t="s">
        <v>251</v>
      </c>
      <c r="E10" s="2" t="s">
        <v>266</v>
      </c>
    </row>
    <row r="11" spans="1:5" x14ac:dyDescent="0.2">
      <c r="A11" s="2" t="s">
        <v>267</v>
      </c>
      <c r="B11" s="2" t="s">
        <v>268</v>
      </c>
      <c r="C11" s="2" t="s">
        <v>269</v>
      </c>
      <c r="D11" s="2" t="s">
        <v>256</v>
      </c>
      <c r="E11" s="2" t="s">
        <v>270</v>
      </c>
    </row>
    <row r="12" spans="1:5" x14ac:dyDescent="0.2">
      <c r="A12" s="2" t="s">
        <v>271</v>
      </c>
      <c r="B12" s="2" t="s">
        <v>272</v>
      </c>
      <c r="C12" s="2" t="s">
        <v>273</v>
      </c>
      <c r="D12" s="2" t="s">
        <v>261</v>
      </c>
      <c r="E12" s="2" t="s">
        <v>274</v>
      </c>
    </row>
    <row r="13" spans="1:5" x14ac:dyDescent="0.2">
      <c r="A13" s="2" t="s">
        <v>275</v>
      </c>
      <c r="B13" s="2" t="s">
        <v>276</v>
      </c>
      <c r="C13" s="2" t="s">
        <v>273</v>
      </c>
      <c r="D13" s="2" t="s">
        <v>256</v>
      </c>
      <c r="E13" s="2" t="s">
        <v>270</v>
      </c>
    </row>
    <row r="14" spans="1:5" x14ac:dyDescent="0.2">
      <c r="A14" s="2" t="s">
        <v>277</v>
      </c>
      <c r="B14" s="2" t="s">
        <v>278</v>
      </c>
      <c r="C14" s="2" t="s">
        <v>279</v>
      </c>
      <c r="D14" s="2" t="s">
        <v>261</v>
      </c>
      <c r="E14" s="2" t="s">
        <v>280</v>
      </c>
    </row>
    <row r="15" spans="1:5" x14ac:dyDescent="0.2">
      <c r="A15" s="2" t="s">
        <v>281</v>
      </c>
      <c r="B15" s="2" t="s">
        <v>282</v>
      </c>
      <c r="C15" s="2" t="s">
        <v>283</v>
      </c>
      <c r="D15" s="2" t="s">
        <v>256</v>
      </c>
      <c r="E15" s="2" t="s">
        <v>284</v>
      </c>
    </row>
    <row r="16" spans="1:5" x14ac:dyDescent="0.2">
      <c r="A16" s="2" t="s">
        <v>285</v>
      </c>
      <c r="B16" s="2" t="s">
        <v>286</v>
      </c>
      <c r="C16" s="2" t="s">
        <v>287</v>
      </c>
      <c r="D16" s="2" t="s">
        <v>251</v>
      </c>
      <c r="E16" s="2" t="s">
        <v>288</v>
      </c>
    </row>
    <row r="17" spans="1:5" x14ac:dyDescent="0.2">
      <c r="A17" s="2" t="s">
        <v>289</v>
      </c>
      <c r="B17" s="2" t="s">
        <v>290</v>
      </c>
      <c r="C17" s="2" t="s">
        <v>291</v>
      </c>
      <c r="D17" s="2" t="s">
        <v>292</v>
      </c>
      <c r="E17" s="2" t="s">
        <v>293</v>
      </c>
    </row>
    <row r="18" spans="1:5" ht="27.75" x14ac:dyDescent="0.2">
      <c r="A18" s="2" t="s">
        <v>294</v>
      </c>
      <c r="B18" s="2" t="s">
        <v>295</v>
      </c>
      <c r="C18" s="2" t="s">
        <v>273</v>
      </c>
      <c r="D18" s="2" t="s">
        <v>261</v>
      </c>
      <c r="E18" s="2" t="s">
        <v>296</v>
      </c>
    </row>
    <row r="19" spans="1:5" x14ac:dyDescent="0.2">
      <c r="A19" s="2" t="s">
        <v>297</v>
      </c>
      <c r="B19" s="2" t="s">
        <v>298</v>
      </c>
      <c r="C19" s="2" t="s">
        <v>299</v>
      </c>
      <c r="D19" s="2" t="s">
        <v>300</v>
      </c>
      <c r="E19" s="2" t="s">
        <v>301</v>
      </c>
    </row>
  </sheetData>
  <mergeCells count="2">
    <mergeCell ref="A1:E1"/>
    <mergeCell ref="A2:E2"/>
  </mergeCells>
  <conditionalFormatting sqref="A5:E19">
    <cfRule type="expression" dxfId="0" priority="1">
      <formula>ISNUMBER(SEARCH("NEVER",C5))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0"/>
  <sheetViews>
    <sheetView zoomScaleNormal="60" zoomScaleSheetLayoutView="100" workbookViewId="0"/>
  </sheetViews>
  <sheetFormatPr defaultRowHeight="15" x14ac:dyDescent="0.2"/>
  <cols>
    <col min="1" max="5" width="23" customWidth="1"/>
    <col min="6" max="26" width="16.0078125" customWidth="1"/>
    <col min="27" max="28" width="23" customWidth="1"/>
    <col min="29" max="40" width="16.0078125" customWidth="1"/>
    <col min="41" max="42" width="23" customWidth="1"/>
  </cols>
  <sheetData>
    <row r="1" spans="1:42" ht="27.95" customHeight="1" x14ac:dyDescent="0.2">
      <c r="A1" s="3" t="s">
        <v>302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33.950000000000003" customHeight="1" x14ac:dyDescent="0.2">
      <c r="A2" s="4" t="s">
        <v>303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4" spans="1:42" ht="27.75" x14ac:dyDescent="0.2">
      <c r="A4" s="1" t="s">
        <v>304</v>
      </c>
      <c r="B4" s="1" t="s">
        <v>22</v>
      </c>
      <c r="C4" s="1" t="s">
        <v>305</v>
      </c>
      <c r="D4" s="1" t="s">
        <v>306</v>
      </c>
      <c r="E4" s="1" t="s">
        <v>307</v>
      </c>
      <c r="F4" s="1" t="s">
        <v>308</v>
      </c>
      <c r="G4" s="1" t="s">
        <v>309</v>
      </c>
      <c r="H4" s="1" t="s">
        <v>310</v>
      </c>
      <c r="I4" s="1" t="s">
        <v>311</v>
      </c>
      <c r="J4" s="1" t="s">
        <v>312</v>
      </c>
      <c r="K4" s="1" t="s">
        <v>313</v>
      </c>
      <c r="L4" s="1" t="s">
        <v>314</v>
      </c>
      <c r="M4" s="1" t="s">
        <v>315</v>
      </c>
      <c r="N4" s="1" t="s">
        <v>316</v>
      </c>
      <c r="O4" s="1" t="s">
        <v>317</v>
      </c>
      <c r="P4" s="1" t="s">
        <v>318</v>
      </c>
      <c r="Q4" s="1" t="s">
        <v>319</v>
      </c>
      <c r="R4" s="1" t="s">
        <v>320</v>
      </c>
      <c r="S4" s="1" t="s">
        <v>321</v>
      </c>
      <c r="T4" s="1" t="s">
        <v>322</v>
      </c>
      <c r="U4" s="1" t="s">
        <v>323</v>
      </c>
      <c r="V4" s="1" t="s">
        <v>324</v>
      </c>
      <c r="W4" s="1" t="s">
        <v>325</v>
      </c>
      <c r="X4" s="1" t="s">
        <v>326</v>
      </c>
      <c r="Y4" s="1" t="s">
        <v>327</v>
      </c>
      <c r="Z4" s="1" t="s">
        <v>328</v>
      </c>
      <c r="AA4" s="1" t="s">
        <v>30</v>
      </c>
      <c r="AB4" s="1" t="s">
        <v>329</v>
      </c>
      <c r="AC4" s="1" t="s">
        <v>330</v>
      </c>
      <c r="AD4" s="1" t="s">
        <v>331</v>
      </c>
      <c r="AE4" s="1" t="s">
        <v>332</v>
      </c>
      <c r="AF4" s="1" t="s">
        <v>333</v>
      </c>
      <c r="AG4" s="1" t="s">
        <v>334</v>
      </c>
      <c r="AH4" s="1" t="s">
        <v>335</v>
      </c>
      <c r="AI4" s="1" t="s">
        <v>336</v>
      </c>
      <c r="AJ4" s="1" t="s">
        <v>337</v>
      </c>
      <c r="AK4" s="1" t="s">
        <v>338</v>
      </c>
      <c r="AL4" s="1" t="s">
        <v>339</v>
      </c>
      <c r="AM4" s="1" t="s">
        <v>340</v>
      </c>
      <c r="AN4" s="1" t="s">
        <v>341</v>
      </c>
      <c r="AO4" s="1" t="s">
        <v>342</v>
      </c>
      <c r="AP4" s="1" t="s">
        <v>343</v>
      </c>
    </row>
    <row r="5" spans="1:42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</sheetData>
  <mergeCells count="2">
    <mergeCell ref="A1:AP1"/>
    <mergeCell ref="A2:A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50"/>
  <sheetViews>
    <sheetView zoomScaleNormal="60" zoomScaleSheetLayoutView="100" workbookViewId="0"/>
  </sheetViews>
  <sheetFormatPr defaultRowHeight="15" x14ac:dyDescent="0.2"/>
  <cols>
    <col min="1" max="3" width="23" customWidth="1"/>
    <col min="4" max="27" width="16.0078125" customWidth="1"/>
    <col min="28" max="28" width="23" customWidth="1"/>
  </cols>
  <sheetData>
    <row r="1" spans="1:28" ht="27.95" customHeight="1" x14ac:dyDescent="0.2">
      <c r="A1" s="3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33.950000000000003" customHeight="1" x14ac:dyDescent="0.2">
      <c r="A2" s="4" t="s">
        <v>345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4" spans="1:28" ht="27.75" x14ac:dyDescent="0.2">
      <c r="A4" s="1" t="s">
        <v>346</v>
      </c>
      <c r="B4" s="1" t="s">
        <v>22</v>
      </c>
      <c r="C4" s="1" t="s">
        <v>305</v>
      </c>
      <c r="D4" s="1" t="s">
        <v>347</v>
      </c>
      <c r="E4" s="1" t="s">
        <v>348</v>
      </c>
      <c r="F4" s="1" t="s">
        <v>349</v>
      </c>
      <c r="G4" s="1" t="s">
        <v>350</v>
      </c>
      <c r="H4" s="1" t="s">
        <v>351</v>
      </c>
      <c r="I4" s="1" t="s">
        <v>352</v>
      </c>
      <c r="J4" s="1" t="s">
        <v>353</v>
      </c>
      <c r="K4" s="1" t="s">
        <v>354</v>
      </c>
      <c r="L4" s="1" t="s">
        <v>355</v>
      </c>
      <c r="M4" s="1" t="s">
        <v>356</v>
      </c>
      <c r="N4" s="1" t="s">
        <v>357</v>
      </c>
      <c r="O4" s="1" t="s">
        <v>358</v>
      </c>
      <c r="P4" s="1" t="s">
        <v>359</v>
      </c>
      <c r="Q4" s="1" t="s">
        <v>360</v>
      </c>
      <c r="R4" s="1" t="s">
        <v>361</v>
      </c>
      <c r="S4" s="1" t="s">
        <v>362</v>
      </c>
      <c r="T4" s="1" t="s">
        <v>363</v>
      </c>
      <c r="U4" s="1" t="s">
        <v>364</v>
      </c>
      <c r="V4" s="1" t="s">
        <v>365</v>
      </c>
      <c r="W4" s="1" t="s">
        <v>366</v>
      </c>
      <c r="X4" s="1" t="s">
        <v>367</v>
      </c>
      <c r="Y4" s="1" t="s">
        <v>368</v>
      </c>
      <c r="Z4" s="1" t="s">
        <v>369</v>
      </c>
      <c r="AA4" s="1" t="s">
        <v>370</v>
      </c>
      <c r="AB4" s="1" t="s">
        <v>371</v>
      </c>
    </row>
    <row r="5" spans="1:2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</sheetData>
  <mergeCells count="2">
    <mergeCell ref="A1:AB1"/>
    <mergeCell ref="A2:A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zoomScaleNormal="60" zoomScaleSheetLayoutView="100" workbookViewId="0"/>
  </sheetViews>
  <sheetFormatPr defaultRowHeight="15" x14ac:dyDescent="0.2"/>
  <cols>
    <col min="1" max="1" width="13.98828125" customWidth="1"/>
    <col min="2" max="2" width="18.0234375" customWidth="1"/>
    <col min="3" max="3" width="22.05859375" customWidth="1"/>
    <col min="4" max="4" width="82.05859375" customWidth="1"/>
    <col min="5" max="5" width="50.04296875" customWidth="1"/>
  </cols>
  <sheetData>
    <row r="1" spans="1:5" ht="27.95" customHeight="1" x14ac:dyDescent="0.2">
      <c r="A1" s="3" t="s">
        <v>372</v>
      </c>
      <c r="B1" s="3"/>
      <c r="C1" s="3"/>
      <c r="D1" s="3"/>
      <c r="E1" s="3"/>
    </row>
    <row r="2" spans="1:5" ht="33.950000000000003" customHeight="1" x14ac:dyDescent="0.2">
      <c r="A2" s="4" t="s">
        <v>373</v>
      </c>
      <c r="B2" s="4"/>
      <c r="C2" s="4"/>
      <c r="D2" s="4"/>
      <c r="E2" s="4"/>
    </row>
    <row r="4" spans="1:5" x14ac:dyDescent="0.2">
      <c r="A4" s="1" t="s">
        <v>374</v>
      </c>
      <c r="B4" s="1" t="s">
        <v>375</v>
      </c>
      <c r="C4" s="1" t="s">
        <v>376</v>
      </c>
      <c r="D4" s="1" t="s">
        <v>377</v>
      </c>
      <c r="E4" s="1" t="s">
        <v>378</v>
      </c>
    </row>
    <row r="5" spans="1:5" x14ac:dyDescent="0.2">
      <c r="A5" s="2" t="s">
        <v>379</v>
      </c>
      <c r="B5" s="2" t="s">
        <v>380</v>
      </c>
      <c r="C5" s="2" t="s">
        <v>381</v>
      </c>
      <c r="D5" s="2" t="s">
        <v>382</v>
      </c>
      <c r="E5" s="2" t="s">
        <v>383</v>
      </c>
    </row>
    <row r="6" spans="1:5" x14ac:dyDescent="0.2">
      <c r="A6" s="2" t="s">
        <v>384</v>
      </c>
      <c r="B6" s="2" t="s">
        <v>385</v>
      </c>
      <c r="C6" s="2" t="s">
        <v>386</v>
      </c>
      <c r="D6" s="2" t="s">
        <v>58</v>
      </c>
      <c r="E6" s="2" t="s">
        <v>387</v>
      </c>
    </row>
    <row r="7" spans="1:5" x14ac:dyDescent="0.2">
      <c r="A7" s="2" t="s">
        <v>388</v>
      </c>
      <c r="B7" s="2" t="s">
        <v>385</v>
      </c>
      <c r="C7" s="2" t="s">
        <v>389</v>
      </c>
      <c r="D7" s="2" t="s">
        <v>59</v>
      </c>
      <c r="E7" s="2" t="s">
        <v>390</v>
      </c>
    </row>
    <row r="8" spans="1:5" x14ac:dyDescent="0.2">
      <c r="A8" s="2" t="s">
        <v>391</v>
      </c>
      <c r="B8" s="2" t="s">
        <v>385</v>
      </c>
      <c r="C8" s="2" t="s">
        <v>386</v>
      </c>
      <c r="D8" s="2" t="s">
        <v>72</v>
      </c>
      <c r="E8" s="2" t="s">
        <v>392</v>
      </c>
    </row>
    <row r="9" spans="1:5" ht="27.75" x14ac:dyDescent="0.2">
      <c r="A9" s="2" t="s">
        <v>393</v>
      </c>
      <c r="B9" s="2" t="s">
        <v>385</v>
      </c>
      <c r="C9" s="2" t="s">
        <v>394</v>
      </c>
      <c r="D9" s="2" t="s">
        <v>73</v>
      </c>
      <c r="E9" s="2" t="s">
        <v>395</v>
      </c>
    </row>
    <row r="10" spans="1:5" x14ac:dyDescent="0.2">
      <c r="A10" s="2" t="s">
        <v>396</v>
      </c>
      <c r="B10" s="2" t="s">
        <v>385</v>
      </c>
      <c r="C10" s="2" t="s">
        <v>397</v>
      </c>
      <c r="D10" s="2" t="s">
        <v>84</v>
      </c>
      <c r="E10" s="2" t="s">
        <v>398</v>
      </c>
    </row>
    <row r="11" spans="1:5" x14ac:dyDescent="0.2">
      <c r="A11" s="2" t="s">
        <v>399</v>
      </c>
      <c r="B11" s="2" t="s">
        <v>400</v>
      </c>
      <c r="C11" s="2" t="s">
        <v>401</v>
      </c>
      <c r="D11" s="2" t="s">
        <v>126</v>
      </c>
      <c r="E11" s="2" t="s">
        <v>402</v>
      </c>
    </row>
    <row r="12" spans="1:5" x14ac:dyDescent="0.2">
      <c r="A12" s="2" t="s">
        <v>403</v>
      </c>
      <c r="B12" s="2" t="s">
        <v>385</v>
      </c>
      <c r="C12" s="2" t="s">
        <v>404</v>
      </c>
      <c r="D12" s="2" t="s">
        <v>127</v>
      </c>
      <c r="E12" s="2" t="s">
        <v>405</v>
      </c>
    </row>
    <row r="13" spans="1:5" x14ac:dyDescent="0.2">
      <c r="A13" s="2" t="s">
        <v>406</v>
      </c>
      <c r="B13" s="2" t="s">
        <v>385</v>
      </c>
      <c r="C13" s="2" t="s">
        <v>389</v>
      </c>
      <c r="D13" s="2" t="s">
        <v>112</v>
      </c>
      <c r="E13" s="2" t="s">
        <v>407</v>
      </c>
    </row>
    <row r="14" spans="1:5" ht="27.75" x14ac:dyDescent="0.2">
      <c r="A14" s="2" t="s">
        <v>408</v>
      </c>
      <c r="B14" s="2" t="s">
        <v>409</v>
      </c>
      <c r="C14" s="2" t="s">
        <v>410</v>
      </c>
      <c r="D14" s="2" t="s">
        <v>113</v>
      </c>
      <c r="E14" s="2" t="s">
        <v>411</v>
      </c>
    </row>
    <row r="15" spans="1:5" x14ac:dyDescent="0.2">
      <c r="A15" s="2" t="s">
        <v>412</v>
      </c>
      <c r="B15" s="2" t="s">
        <v>385</v>
      </c>
      <c r="C15" s="2" t="s">
        <v>413</v>
      </c>
      <c r="D15" s="2" t="s">
        <v>141</v>
      </c>
      <c r="E15" s="2" t="s">
        <v>414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zoomScaleNormal="60" zoomScaleSheetLayoutView="100" workbookViewId="0"/>
  </sheetViews>
  <sheetFormatPr defaultRowHeight="15" x14ac:dyDescent="0.2"/>
  <cols>
    <col min="1" max="1" width="34.03125" customWidth="1"/>
    <col min="2" max="2" width="18.0234375" customWidth="1"/>
  </cols>
  <sheetData>
    <row r="1" spans="1:8" ht="27.95" customHeight="1" x14ac:dyDescent="0.2">
      <c r="A1" s="3" t="s">
        <v>415</v>
      </c>
      <c r="B1" s="3"/>
      <c r="C1" s="3"/>
      <c r="D1" s="3"/>
      <c r="E1" s="3"/>
      <c r="F1" s="3"/>
      <c r="G1" s="3"/>
      <c r="H1" s="3"/>
    </row>
    <row r="2" spans="1:8" ht="33.950000000000003" customHeight="1" x14ac:dyDescent="0.2">
      <c r="A2" s="4" t="s">
        <v>416</v>
      </c>
      <c r="B2" s="4"/>
      <c r="C2" s="4"/>
      <c r="D2" s="4"/>
      <c r="E2" s="4"/>
      <c r="F2" s="4"/>
      <c r="G2" s="4"/>
      <c r="H2" s="4"/>
    </row>
    <row r="4" spans="1:8" x14ac:dyDescent="0.2">
      <c r="A4" s="1" t="s">
        <v>417</v>
      </c>
      <c r="B4" s="1" t="s">
        <v>418</v>
      </c>
      <c r="C4" s="1"/>
      <c r="D4" s="1"/>
      <c r="E4" s="1"/>
      <c r="F4" s="1"/>
      <c r="G4" s="1"/>
      <c r="H4" s="1"/>
    </row>
    <row r="5" spans="1:8" x14ac:dyDescent="0.2">
      <c r="A5" t="s">
        <v>419</v>
      </c>
      <c r="B5">
        <f>COUNTA(Event_Master!A5:A15)</f>
        <v>11</v>
      </c>
    </row>
    <row r="6" spans="1:8" x14ac:dyDescent="0.2">
      <c r="A6" t="s">
        <v>420</v>
      </c>
      <c r="B6">
        <f>COUNTIF(Event_Master!G5:G15,"RUNNER*")</f>
        <v>4</v>
      </c>
    </row>
    <row r="7" spans="1:8" x14ac:dyDescent="0.2">
      <c r="A7" t="s">
        <v>421</v>
      </c>
      <c r="B7">
        <f>COUNTIF(Event_Master!G5:G15,"*FAIL*")+COUNTIF(Event_Master!G5:G15,"CONTROL*")</f>
        <v>13</v>
      </c>
    </row>
    <row r="8" spans="1:8" x14ac:dyDescent="0.2">
      <c r="A8" t="s">
        <v>422</v>
      </c>
      <c r="B8">
        <f>COUNTIF(Matched_Controls!E5:E11,"*PROVISIONAL*")</f>
        <v>6</v>
      </c>
    </row>
    <row r="9" spans="1:8" x14ac:dyDescent="0.2">
      <c r="A9" t="s">
        <v>423</v>
      </c>
      <c r="B9">
        <f>COUNTIF(Event_Master!R5:R15,"VERIFIED_SEED")</f>
        <v>6</v>
      </c>
    </row>
    <row r="10" spans="1:8" x14ac:dyDescent="0.2">
      <c r="A10" t="s">
        <v>424</v>
      </c>
      <c r="B10">
        <f>COUNTIF(Event_Master!R5:R15,"FOUNDATIONAL_REPORT_SEED")</f>
        <v>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zoomScaleNormal="60" zoomScaleSheetLayoutView="100" workbookViewId="0"/>
  </sheetViews>
  <sheetFormatPr defaultRowHeight="15" x14ac:dyDescent="0.2"/>
  <cols>
    <col min="1" max="1" width="29.99609375" customWidth="1"/>
    <col min="2" max="2" width="23.9453125" customWidth="1"/>
    <col min="3" max="3" width="64.03125" customWidth="1"/>
    <col min="4" max="4" width="39.953125" customWidth="1"/>
    <col min="5" max="5" width="23.9453125" customWidth="1"/>
  </cols>
  <sheetData>
    <row r="1" spans="1:5" ht="27.95" customHeight="1" x14ac:dyDescent="0.2">
      <c r="A1" s="3" t="s">
        <v>425</v>
      </c>
      <c r="B1" s="3"/>
      <c r="C1" s="3"/>
      <c r="D1" s="3"/>
      <c r="E1" s="3"/>
    </row>
    <row r="2" spans="1:5" ht="33.950000000000003" customHeight="1" x14ac:dyDescent="0.2">
      <c r="A2" s="4" t="s">
        <v>426</v>
      </c>
      <c r="B2" s="4"/>
      <c r="C2" s="4"/>
      <c r="D2" s="4"/>
      <c r="E2" s="4"/>
    </row>
    <row r="4" spans="1:5" x14ac:dyDescent="0.2">
      <c r="A4" s="1" t="s">
        <v>427</v>
      </c>
      <c r="B4" s="1" t="s">
        <v>428</v>
      </c>
      <c r="C4" s="1" t="s">
        <v>429</v>
      </c>
      <c r="D4" s="1" t="s">
        <v>430</v>
      </c>
      <c r="E4" s="1" t="s">
        <v>431</v>
      </c>
    </row>
    <row r="5" spans="1:5" x14ac:dyDescent="0.2">
      <c r="A5" s="2" t="s">
        <v>22</v>
      </c>
      <c r="B5" s="2" t="s">
        <v>432</v>
      </c>
      <c r="C5" s="2" t="s">
        <v>433</v>
      </c>
      <c r="D5" s="2" t="s">
        <v>434</v>
      </c>
      <c r="E5" s="2" t="s">
        <v>435</v>
      </c>
    </row>
    <row r="6" spans="1:5" ht="27.75" x14ac:dyDescent="0.2">
      <c r="A6" s="2" t="s">
        <v>28</v>
      </c>
      <c r="B6" s="2" t="s">
        <v>432</v>
      </c>
      <c r="C6" s="2" t="s">
        <v>436</v>
      </c>
      <c r="D6" s="2" t="s">
        <v>437</v>
      </c>
      <c r="E6" s="2" t="s">
        <v>438</v>
      </c>
    </row>
    <row r="7" spans="1:5" x14ac:dyDescent="0.2">
      <c r="A7" s="2" t="s">
        <v>305</v>
      </c>
      <c r="B7" s="2" t="s">
        <v>439</v>
      </c>
      <c r="C7" s="2" t="s">
        <v>440</v>
      </c>
      <c r="D7" s="2" t="s">
        <v>441</v>
      </c>
      <c r="E7" s="2" t="s">
        <v>442</v>
      </c>
    </row>
    <row r="8" spans="1:5" x14ac:dyDescent="0.2">
      <c r="A8" s="2" t="s">
        <v>306</v>
      </c>
      <c r="B8" s="2" t="s">
        <v>439</v>
      </c>
      <c r="C8" s="2" t="s">
        <v>443</v>
      </c>
      <c r="D8" s="2" t="s">
        <v>444</v>
      </c>
      <c r="E8" s="2" t="s">
        <v>445</v>
      </c>
    </row>
    <row r="9" spans="1:5" x14ac:dyDescent="0.2">
      <c r="A9" s="2" t="s">
        <v>446</v>
      </c>
      <c r="B9" s="2" t="s">
        <v>439</v>
      </c>
      <c r="C9" s="2" t="s">
        <v>447</v>
      </c>
      <c r="D9" s="2" t="s">
        <v>448</v>
      </c>
      <c r="E9" s="2" t="s">
        <v>442</v>
      </c>
    </row>
    <row r="10" spans="1:5" x14ac:dyDescent="0.2">
      <c r="A10" s="2" t="s">
        <v>319</v>
      </c>
      <c r="B10" s="2" t="s">
        <v>439</v>
      </c>
      <c r="C10" s="2" t="s">
        <v>449</v>
      </c>
      <c r="D10" s="2" t="s">
        <v>450</v>
      </c>
      <c r="E10" s="2" t="s">
        <v>442</v>
      </c>
    </row>
    <row r="11" spans="1:5" x14ac:dyDescent="0.2">
      <c r="A11" s="2" t="s">
        <v>321</v>
      </c>
      <c r="B11" s="2" t="s">
        <v>439</v>
      </c>
      <c r="C11" s="2" t="s">
        <v>451</v>
      </c>
      <c r="D11" s="2" t="s">
        <v>450</v>
      </c>
      <c r="E11" s="2" t="s">
        <v>442</v>
      </c>
    </row>
    <row r="12" spans="1:5" x14ac:dyDescent="0.2">
      <c r="A12" s="2" t="s">
        <v>338</v>
      </c>
      <c r="B12" s="2" t="s">
        <v>439</v>
      </c>
      <c r="C12" s="2" t="s">
        <v>452</v>
      </c>
      <c r="D12" s="2" t="s">
        <v>453</v>
      </c>
      <c r="E12" s="2" t="s">
        <v>442</v>
      </c>
    </row>
    <row r="13" spans="1:5" x14ac:dyDescent="0.2">
      <c r="A13" s="2" t="s">
        <v>350</v>
      </c>
      <c r="B13" s="2" t="s">
        <v>454</v>
      </c>
      <c r="C13" s="2" t="s">
        <v>455</v>
      </c>
      <c r="D13" s="2" t="s">
        <v>456</v>
      </c>
      <c r="E13" s="2" t="s">
        <v>457</v>
      </c>
    </row>
    <row r="14" spans="1:5" x14ac:dyDescent="0.2">
      <c r="A14" s="2" t="s">
        <v>358</v>
      </c>
      <c r="B14" s="2" t="s">
        <v>454</v>
      </c>
      <c r="C14" s="2" t="s">
        <v>458</v>
      </c>
      <c r="D14" s="2" t="s">
        <v>459</v>
      </c>
      <c r="E14" s="2" t="s">
        <v>457</v>
      </c>
    </row>
    <row r="15" spans="1:5" x14ac:dyDescent="0.2">
      <c r="A15" s="2" t="s">
        <v>359</v>
      </c>
      <c r="B15" s="2" t="s">
        <v>454</v>
      </c>
      <c r="C15" s="2" t="s">
        <v>460</v>
      </c>
      <c r="D15" s="2" t="s">
        <v>459</v>
      </c>
      <c r="E15" s="2" t="s">
        <v>457</v>
      </c>
    </row>
    <row r="16" spans="1:5" x14ac:dyDescent="0.2">
      <c r="A16" s="2" t="s">
        <v>195</v>
      </c>
      <c r="B16" s="2" t="s">
        <v>461</v>
      </c>
      <c r="C16" s="2" t="s">
        <v>462</v>
      </c>
      <c r="D16" s="2" t="s">
        <v>463</v>
      </c>
      <c r="E16" s="2" t="s">
        <v>464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Event_Master</vt:lpstr>
      <vt:lpstr>Matched_Controls</vt:lpstr>
      <vt:lpstr>Match_Rules</vt:lpstr>
      <vt:lpstr>Feature_Snapshots</vt:lpstr>
      <vt:lpstr>Outcomes</vt:lpstr>
      <vt:lpstr>Sources</vt:lpstr>
      <vt:lpstr>Cohort_Summary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Cafe Aulee</dc:creator>
  <dcterms:created xsi:type="dcterms:W3CDTF">2026-08-25T02:52:42Z</dcterms:created>
</cp:coreProperties>
</file>